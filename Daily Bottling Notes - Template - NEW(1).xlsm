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M:\AWinters\Daily Reports\Bottling Notes\"/>
    </mc:Choice>
  </mc:AlternateContent>
  <xr:revisionPtr revIDLastSave="0" documentId="13_ncr:1_{9BEC6F38-A086-487F-9F54-420889C9B757}" xr6:coauthVersionLast="47" xr6:coauthVersionMax="47" xr10:uidLastSave="{00000000-0000-0000-0000-000000000000}"/>
  <bookViews>
    <workbookView xWindow="28680" yWindow="-120" windowWidth="29040" windowHeight="15840" xr2:uid="{9D3FCFB6-941D-462E-9246-417BEAD75AC4}"/>
  </bookViews>
  <sheets>
    <sheet name="Original" sheetId="4" r:id="rId1"/>
    <sheet name="Both Shifts" sheetId="1" r:id="rId2"/>
    <sheet name="B Shift" sheetId="2" r:id="rId3"/>
    <sheet name="C Shift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2" i="3" l="1"/>
  <c r="I52" i="3" s="1"/>
  <c r="P52" i="3" s="1"/>
  <c r="H52" i="3"/>
  <c r="AA51" i="3"/>
  <c r="Z51" i="3"/>
  <c r="Y51" i="3"/>
  <c r="X51" i="3"/>
  <c r="W51" i="3"/>
  <c r="V51" i="3"/>
  <c r="U51" i="3"/>
  <c r="T51" i="3"/>
  <c r="S51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 s="1"/>
  <c r="AA50" i="3"/>
  <c r="Z50" i="3"/>
  <c r="Y50" i="3"/>
  <c r="X50" i="3"/>
  <c r="W50" i="3"/>
  <c r="V50" i="3"/>
  <c r="U50" i="3"/>
  <c r="T50" i="3"/>
  <c r="S50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 s="1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F52" i="3" s="1"/>
  <c r="E49" i="3"/>
  <c r="D49" i="3" s="1"/>
  <c r="N48" i="3"/>
  <c r="H48" i="3"/>
  <c r="D49" i="2"/>
  <c r="D48" i="2"/>
  <c r="D47" i="2"/>
  <c r="J50" i="2"/>
  <c r="I50" i="2" s="1"/>
  <c r="H50" i="2"/>
  <c r="AA49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AA48" i="2"/>
  <c r="Z48" i="2"/>
  <c r="Y48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AA47" i="2"/>
  <c r="Z47" i="2"/>
  <c r="Y47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N46" i="2" s="1"/>
  <c r="E47" i="2"/>
  <c r="H46" i="2"/>
  <c r="I50" i="1"/>
  <c r="H50" i="1"/>
  <c r="F50" i="1"/>
  <c r="J50" i="1"/>
  <c r="E49" i="1"/>
  <c r="D49" i="1" s="1"/>
  <c r="E48" i="1"/>
  <c r="D48" i="1" s="1"/>
  <c r="E47" i="1"/>
  <c r="D47" i="1" s="1"/>
  <c r="X47" i="1" s="1"/>
  <c r="J99" i="1"/>
  <c r="I99" i="1" s="1"/>
  <c r="H99" i="1"/>
  <c r="E98" i="1"/>
  <c r="C98" i="1" s="1"/>
  <c r="E97" i="1"/>
  <c r="D97" i="1" s="1"/>
  <c r="E96" i="1"/>
  <c r="D96" i="1" s="1"/>
  <c r="J45" i="1"/>
  <c r="I45" i="1" s="1"/>
  <c r="B60" i="4"/>
  <c r="B61" i="4"/>
  <c r="C61" i="4" s="1"/>
  <c r="D61" i="4" s="1"/>
  <c r="B62" i="4"/>
  <c r="B63" i="4"/>
  <c r="B64" i="4"/>
  <c r="C64" i="4" s="1"/>
  <c r="D64" i="4" s="1"/>
  <c r="B65" i="4"/>
  <c r="B66" i="4"/>
  <c r="B51" i="4"/>
  <c r="B54" i="4"/>
  <c r="B57" i="4"/>
  <c r="B58" i="4"/>
  <c r="AE51" i="1"/>
  <c r="H10" i="1"/>
  <c r="AE53" i="3"/>
  <c r="AE5" i="3"/>
  <c r="AE51" i="2"/>
  <c r="AE5" i="2"/>
  <c r="AE52" i="1"/>
  <c r="AE100" i="1"/>
  <c r="AE101" i="1"/>
  <c r="AE5" i="1"/>
  <c r="H82" i="1"/>
  <c r="E3" i="3"/>
  <c r="E3" i="2"/>
  <c r="E3" i="1"/>
  <c r="H62" i="1"/>
  <c r="J62" i="1"/>
  <c r="I62" i="1" s="1"/>
  <c r="E88" i="1"/>
  <c r="D88" i="1" s="1"/>
  <c r="E87" i="1"/>
  <c r="D87" i="1" s="1"/>
  <c r="E93" i="1"/>
  <c r="D93" i="1" s="1"/>
  <c r="E92" i="1"/>
  <c r="D92" i="1" s="1"/>
  <c r="E91" i="1"/>
  <c r="D91" i="1" s="1"/>
  <c r="E86" i="1"/>
  <c r="D86" i="1" s="1"/>
  <c r="E85" i="1"/>
  <c r="E38" i="3" s="1"/>
  <c r="D38" i="3" s="1"/>
  <c r="E84" i="1"/>
  <c r="E81" i="1"/>
  <c r="D81" i="1" s="1"/>
  <c r="E80" i="1"/>
  <c r="D80" i="1" s="1"/>
  <c r="E79" i="1"/>
  <c r="E32" i="3" s="1"/>
  <c r="D32" i="3" s="1"/>
  <c r="E76" i="1"/>
  <c r="D76" i="1" s="1"/>
  <c r="E75" i="1"/>
  <c r="C75" i="1" s="1"/>
  <c r="E74" i="1"/>
  <c r="D74" i="1" s="1"/>
  <c r="E71" i="1"/>
  <c r="E70" i="1"/>
  <c r="E69" i="1"/>
  <c r="D69" i="1" s="1"/>
  <c r="E66" i="1"/>
  <c r="D66" i="1" s="1"/>
  <c r="E65" i="1"/>
  <c r="D65" i="1" s="1"/>
  <c r="E64" i="1"/>
  <c r="D64" i="1" s="1"/>
  <c r="E61" i="1"/>
  <c r="D61" i="1" s="1"/>
  <c r="E60" i="1"/>
  <c r="D60" i="1" s="1"/>
  <c r="E59" i="1"/>
  <c r="E56" i="1"/>
  <c r="E55" i="1"/>
  <c r="D55" i="1" s="1"/>
  <c r="E54" i="1"/>
  <c r="D54" i="1" s="1"/>
  <c r="E44" i="1"/>
  <c r="D44" i="1" s="1"/>
  <c r="E43" i="1"/>
  <c r="C43" i="1" s="1"/>
  <c r="E42" i="1"/>
  <c r="E42" i="2" s="1"/>
  <c r="D42" i="2" s="1"/>
  <c r="E39" i="1"/>
  <c r="D39" i="1" s="1"/>
  <c r="E38" i="1"/>
  <c r="D38" i="1" s="1"/>
  <c r="E37" i="1"/>
  <c r="E34" i="1"/>
  <c r="E34" i="2" s="1"/>
  <c r="D34" i="2" s="1"/>
  <c r="E33" i="1"/>
  <c r="D33" i="1" s="1"/>
  <c r="E32" i="1"/>
  <c r="D32" i="1" s="1"/>
  <c r="E29" i="1"/>
  <c r="D29" i="1" s="1"/>
  <c r="E28" i="1"/>
  <c r="D28" i="1" s="1"/>
  <c r="E27" i="1"/>
  <c r="D27" i="1" s="1"/>
  <c r="E24" i="1"/>
  <c r="D24" i="1" s="1"/>
  <c r="E23" i="1"/>
  <c r="E23" i="2" s="1"/>
  <c r="D23" i="2" s="1"/>
  <c r="E22" i="1"/>
  <c r="E22" i="2" s="1"/>
  <c r="D22" i="2" s="1"/>
  <c r="E19" i="1"/>
  <c r="E19" i="2" s="1"/>
  <c r="D19" i="2" s="1"/>
  <c r="E18" i="1"/>
  <c r="D18" i="1" s="1"/>
  <c r="E17" i="1"/>
  <c r="D17" i="1" s="1"/>
  <c r="E14" i="1"/>
  <c r="D14" i="1" s="1"/>
  <c r="E13" i="1"/>
  <c r="E13" i="2" s="1"/>
  <c r="D13" i="2" s="1"/>
  <c r="E12" i="1"/>
  <c r="D12" i="1" s="1"/>
  <c r="E9" i="1"/>
  <c r="E8" i="1"/>
  <c r="D8" i="1" s="1"/>
  <c r="E7" i="1"/>
  <c r="D7" i="1" s="1"/>
  <c r="C62" i="4"/>
  <c r="D62" i="4" s="1"/>
  <c r="C63" i="4"/>
  <c r="D63" i="4" s="1"/>
  <c r="C12" i="4"/>
  <c r="B13" i="4"/>
  <c r="B15" i="4"/>
  <c r="B16" i="4"/>
  <c r="B19" i="4"/>
  <c r="B24" i="4"/>
  <c r="B33" i="4"/>
  <c r="B36" i="4"/>
  <c r="B12" i="4"/>
  <c r="A12" i="4"/>
  <c r="A13" i="4" s="1"/>
  <c r="A14" i="4" s="1"/>
  <c r="J10" i="1"/>
  <c r="I10" i="1" s="1"/>
  <c r="J35" i="3"/>
  <c r="I35" i="3" s="1"/>
  <c r="H35" i="3"/>
  <c r="J82" i="1"/>
  <c r="I82" i="1" s="1"/>
  <c r="H15" i="1"/>
  <c r="J15" i="1"/>
  <c r="I15" i="1" s="1"/>
  <c r="J35" i="2"/>
  <c r="I35" i="2" s="1"/>
  <c r="H35" i="2"/>
  <c r="J35" i="1"/>
  <c r="I35" i="1" s="1"/>
  <c r="H35" i="1"/>
  <c r="J47" i="3"/>
  <c r="I47" i="3" s="1"/>
  <c r="H47" i="3"/>
  <c r="J42" i="3"/>
  <c r="I42" i="3" s="1"/>
  <c r="H42" i="3"/>
  <c r="J30" i="3"/>
  <c r="I30" i="3" s="1"/>
  <c r="H30" i="3"/>
  <c r="J25" i="3"/>
  <c r="I25" i="3" s="1"/>
  <c r="H25" i="3"/>
  <c r="J20" i="3"/>
  <c r="I20" i="3" s="1"/>
  <c r="H20" i="3"/>
  <c r="J15" i="3"/>
  <c r="I15" i="3" s="1"/>
  <c r="H15" i="3"/>
  <c r="J10" i="3"/>
  <c r="I10" i="3" s="1"/>
  <c r="H10" i="3"/>
  <c r="J45" i="2"/>
  <c r="I45" i="2" s="1"/>
  <c r="H45" i="2"/>
  <c r="J40" i="2"/>
  <c r="I40" i="2" s="1"/>
  <c r="H40" i="2"/>
  <c r="J30" i="2"/>
  <c r="I30" i="2" s="1"/>
  <c r="H30" i="2"/>
  <c r="J25" i="2"/>
  <c r="I25" i="2" s="1"/>
  <c r="H25" i="2"/>
  <c r="J20" i="2"/>
  <c r="I20" i="2" s="1"/>
  <c r="H20" i="2"/>
  <c r="J15" i="2"/>
  <c r="I15" i="2" s="1"/>
  <c r="H15" i="2"/>
  <c r="J10" i="2"/>
  <c r="I10" i="2" s="1"/>
  <c r="H10" i="2"/>
  <c r="C93" i="1"/>
  <c r="J77" i="1"/>
  <c r="I77" i="1" s="1"/>
  <c r="H77" i="1"/>
  <c r="J40" i="1"/>
  <c r="I40" i="1" s="1"/>
  <c r="J30" i="1"/>
  <c r="I30" i="1" s="1"/>
  <c r="J25" i="1"/>
  <c r="I25" i="1" s="1"/>
  <c r="J20" i="1"/>
  <c r="I20" i="1" s="1"/>
  <c r="H20" i="1"/>
  <c r="H25" i="1"/>
  <c r="H30" i="1"/>
  <c r="H40" i="1"/>
  <c r="H45" i="1"/>
  <c r="H94" i="1"/>
  <c r="H89" i="1"/>
  <c r="H72" i="1"/>
  <c r="H67" i="1"/>
  <c r="H57" i="1"/>
  <c r="J57" i="1"/>
  <c r="I57" i="1" s="1"/>
  <c r="J67" i="1"/>
  <c r="I67" i="1" s="1"/>
  <c r="J72" i="1"/>
  <c r="I72" i="1" s="1"/>
  <c r="J89" i="1"/>
  <c r="I89" i="1" s="1"/>
  <c r="J94" i="1"/>
  <c r="I94" i="1" s="1"/>
  <c r="U101" i="1"/>
  <c r="R52" i="3" l="1"/>
  <c r="Q52" i="3"/>
  <c r="S52" i="3"/>
  <c r="T52" i="3"/>
  <c r="V52" i="3"/>
  <c r="N52" i="3"/>
  <c r="W52" i="3"/>
  <c r="O52" i="3"/>
  <c r="X52" i="3"/>
  <c r="P50" i="2"/>
  <c r="X50" i="2"/>
  <c r="O50" i="2"/>
  <c r="W50" i="2"/>
  <c r="N50" i="2"/>
  <c r="V50" i="2"/>
  <c r="T50" i="2"/>
  <c r="S50" i="2"/>
  <c r="R50" i="2"/>
  <c r="Q50" i="2"/>
  <c r="F50" i="2"/>
  <c r="D98" i="1"/>
  <c r="Z98" i="1" s="1"/>
  <c r="C47" i="1"/>
  <c r="V48" i="1"/>
  <c r="N48" i="1"/>
  <c r="F48" i="1"/>
  <c r="Y48" i="1"/>
  <c r="U48" i="1"/>
  <c r="M48" i="1"/>
  <c r="J48" i="1"/>
  <c r="T48" i="1"/>
  <c r="L48" i="1"/>
  <c r="AA48" i="1"/>
  <c r="S48" i="1"/>
  <c r="K48" i="1"/>
  <c r="Q48" i="1"/>
  <c r="X48" i="1"/>
  <c r="P48" i="1"/>
  <c r="H48" i="1"/>
  <c r="Z48" i="1"/>
  <c r="I48" i="1"/>
  <c r="W48" i="1"/>
  <c r="O48" i="1"/>
  <c r="G48" i="1"/>
  <c r="R48" i="1"/>
  <c r="T49" i="1"/>
  <c r="L49" i="1"/>
  <c r="X49" i="1"/>
  <c r="AA49" i="1"/>
  <c r="S49" i="1"/>
  <c r="K49" i="1"/>
  <c r="H49" i="1"/>
  <c r="Z49" i="1"/>
  <c r="R49" i="1"/>
  <c r="J49" i="1"/>
  <c r="Y49" i="1"/>
  <c r="Q49" i="1"/>
  <c r="I49" i="1"/>
  <c r="W49" i="1"/>
  <c r="G49" i="1"/>
  <c r="V49" i="1"/>
  <c r="N49" i="1"/>
  <c r="F49" i="1"/>
  <c r="AE49" i="1" s="1"/>
  <c r="O49" i="1"/>
  <c r="U49" i="1"/>
  <c r="M49" i="1"/>
  <c r="P49" i="1"/>
  <c r="I47" i="1"/>
  <c r="Q47" i="1"/>
  <c r="Y47" i="1"/>
  <c r="J47" i="1"/>
  <c r="R47" i="1"/>
  <c r="Z47" i="1"/>
  <c r="K47" i="1"/>
  <c r="AA47" i="1"/>
  <c r="T47" i="1"/>
  <c r="M47" i="1"/>
  <c r="U47" i="1"/>
  <c r="C48" i="1"/>
  <c r="F47" i="1"/>
  <c r="N47" i="1"/>
  <c r="V47" i="1"/>
  <c r="L47" i="1"/>
  <c r="G47" i="1"/>
  <c r="O47" i="1"/>
  <c r="W47" i="1"/>
  <c r="C49" i="1"/>
  <c r="S47" i="1"/>
  <c r="H47" i="1"/>
  <c r="H46" i="1" s="1"/>
  <c r="AE46" i="1" s="1"/>
  <c r="P47" i="1"/>
  <c r="V96" i="1"/>
  <c r="K96" i="1"/>
  <c r="H96" i="1"/>
  <c r="H95" i="1" s="1"/>
  <c r="AE95" i="1" s="1"/>
  <c r="AA96" i="1"/>
  <c r="G96" i="1"/>
  <c r="X96" i="1"/>
  <c r="W96" i="1"/>
  <c r="S96" i="1"/>
  <c r="O96" i="1"/>
  <c r="P96" i="1"/>
  <c r="C96" i="1"/>
  <c r="K98" i="1"/>
  <c r="S98" i="1"/>
  <c r="AA98" i="1"/>
  <c r="V97" i="1"/>
  <c r="U97" i="1"/>
  <c r="M97" i="1"/>
  <c r="T97" i="1"/>
  <c r="L97" i="1"/>
  <c r="Y97" i="1"/>
  <c r="AA97" i="1"/>
  <c r="S97" i="1"/>
  <c r="K97" i="1"/>
  <c r="Z97" i="1"/>
  <c r="R97" i="1"/>
  <c r="J97" i="1"/>
  <c r="Q97" i="1"/>
  <c r="I97" i="1"/>
  <c r="X97" i="1"/>
  <c r="P97" i="1"/>
  <c r="H97" i="1"/>
  <c r="W97" i="1"/>
  <c r="O97" i="1"/>
  <c r="G97" i="1"/>
  <c r="N97" i="1"/>
  <c r="F97" i="1"/>
  <c r="AE97" i="1" s="1"/>
  <c r="L98" i="1"/>
  <c r="T98" i="1"/>
  <c r="I96" i="1"/>
  <c r="Q96" i="1"/>
  <c r="Y96" i="1"/>
  <c r="M98" i="1"/>
  <c r="U98" i="1"/>
  <c r="J96" i="1"/>
  <c r="R96" i="1"/>
  <c r="Z96" i="1"/>
  <c r="F98" i="1"/>
  <c r="N98" i="1"/>
  <c r="V98" i="1"/>
  <c r="O98" i="1"/>
  <c r="L96" i="1"/>
  <c r="T96" i="1"/>
  <c r="H98" i="1"/>
  <c r="P98" i="1"/>
  <c r="X98" i="1"/>
  <c r="M96" i="1"/>
  <c r="U96" i="1"/>
  <c r="C97" i="1"/>
  <c r="T50" i="1" s="1"/>
  <c r="I98" i="1"/>
  <c r="Q98" i="1"/>
  <c r="Y98" i="1"/>
  <c r="G98" i="1"/>
  <c r="W98" i="1"/>
  <c r="F96" i="1"/>
  <c r="N96" i="1"/>
  <c r="J98" i="1"/>
  <c r="R98" i="1"/>
  <c r="C58" i="4"/>
  <c r="D58" i="4" s="1"/>
  <c r="C65" i="4"/>
  <c r="D65" i="4" s="1"/>
  <c r="C66" i="4"/>
  <c r="D66" i="4" s="1"/>
  <c r="C13" i="4"/>
  <c r="D13" i="4" s="1"/>
  <c r="C16" i="4"/>
  <c r="D16" i="4" s="1"/>
  <c r="C91" i="1"/>
  <c r="E39" i="3"/>
  <c r="D39" i="3" s="1"/>
  <c r="A15" i="4"/>
  <c r="A16" i="4" s="1"/>
  <c r="A17" i="4" s="1"/>
  <c r="B14" i="4"/>
  <c r="D12" i="4"/>
  <c r="C38" i="1"/>
  <c r="C88" i="1"/>
  <c r="E27" i="2"/>
  <c r="D27" i="2" s="1"/>
  <c r="E27" i="3"/>
  <c r="D27" i="3" s="1"/>
  <c r="C74" i="1"/>
  <c r="C69" i="1"/>
  <c r="C14" i="1"/>
  <c r="C13" i="1"/>
  <c r="C61" i="1"/>
  <c r="E13" i="3"/>
  <c r="D13" i="3" s="1"/>
  <c r="C86" i="1"/>
  <c r="C66" i="1"/>
  <c r="C39" i="1"/>
  <c r="E39" i="2"/>
  <c r="D39" i="2" s="1"/>
  <c r="C27" i="1"/>
  <c r="E46" i="3"/>
  <c r="D46" i="3" s="1"/>
  <c r="C44" i="1"/>
  <c r="C76" i="1"/>
  <c r="D13" i="1"/>
  <c r="E45" i="3"/>
  <c r="D45" i="3" s="1"/>
  <c r="C29" i="1"/>
  <c r="C60" i="1"/>
  <c r="E14" i="3"/>
  <c r="D14" i="3" s="1"/>
  <c r="E29" i="3"/>
  <c r="D29" i="3" s="1"/>
  <c r="C92" i="1"/>
  <c r="D42" i="1"/>
  <c r="C64" i="1"/>
  <c r="E29" i="2"/>
  <c r="D29" i="2" s="1"/>
  <c r="C65" i="1"/>
  <c r="E17" i="3"/>
  <c r="D17" i="3" s="1"/>
  <c r="E18" i="3"/>
  <c r="D18" i="3" s="1"/>
  <c r="E7" i="3"/>
  <c r="D7" i="3" s="1"/>
  <c r="E8" i="3"/>
  <c r="D8" i="3" s="1"/>
  <c r="D34" i="1"/>
  <c r="C17" i="1"/>
  <c r="E7" i="2"/>
  <c r="D7" i="2" s="1"/>
  <c r="E8" i="2"/>
  <c r="D8" i="2" s="1"/>
  <c r="C87" i="1"/>
  <c r="C22" i="1"/>
  <c r="D22" i="1"/>
  <c r="C28" i="1"/>
  <c r="E14" i="2"/>
  <c r="D14" i="2" s="1"/>
  <c r="C34" i="1"/>
  <c r="D43" i="1"/>
  <c r="E18" i="2"/>
  <c r="D18" i="2" s="1"/>
  <c r="E32" i="2"/>
  <c r="D32" i="2" s="1"/>
  <c r="C8" i="1"/>
  <c r="C80" i="1"/>
  <c r="E33" i="2"/>
  <c r="D33" i="2" s="1"/>
  <c r="E33" i="3"/>
  <c r="D33" i="3" s="1"/>
  <c r="E19" i="3"/>
  <c r="D19" i="3" s="1"/>
  <c r="D19" i="1"/>
  <c r="C18" i="1"/>
  <c r="C42" i="1"/>
  <c r="E43" i="2"/>
  <c r="D43" i="2" s="1"/>
  <c r="C55" i="1"/>
  <c r="E17" i="2"/>
  <c r="D17" i="2" s="1"/>
  <c r="E44" i="2"/>
  <c r="D44" i="2" s="1"/>
  <c r="C32" i="1"/>
  <c r="C54" i="1"/>
  <c r="C33" i="1"/>
  <c r="C19" i="1"/>
  <c r="E28" i="2"/>
  <c r="D28" i="2" s="1"/>
  <c r="E22" i="3"/>
  <c r="D22" i="3" s="1"/>
  <c r="C81" i="1"/>
  <c r="D9" i="1"/>
  <c r="C9" i="1"/>
  <c r="E9" i="2"/>
  <c r="D9" i="2" s="1"/>
  <c r="D23" i="1"/>
  <c r="C23" i="1"/>
  <c r="D37" i="1"/>
  <c r="C37" i="1"/>
  <c r="E37" i="2"/>
  <c r="D37" i="2" s="1"/>
  <c r="D56" i="1"/>
  <c r="E9" i="3"/>
  <c r="D9" i="3" s="1"/>
  <c r="C56" i="1"/>
  <c r="D70" i="1"/>
  <c r="E23" i="3"/>
  <c r="D23" i="3" s="1"/>
  <c r="C70" i="1"/>
  <c r="D84" i="1"/>
  <c r="E37" i="3"/>
  <c r="D37" i="3" s="1"/>
  <c r="C84" i="1"/>
  <c r="D71" i="1"/>
  <c r="E24" i="3"/>
  <c r="D24" i="3" s="1"/>
  <c r="E38" i="2"/>
  <c r="D38" i="2" s="1"/>
  <c r="D59" i="1"/>
  <c r="E12" i="3"/>
  <c r="D12" i="3" s="1"/>
  <c r="D85" i="1"/>
  <c r="C85" i="1"/>
  <c r="C59" i="1"/>
  <c r="C71" i="1"/>
  <c r="C12" i="1"/>
  <c r="E12" i="2"/>
  <c r="D12" i="2" s="1"/>
  <c r="E24" i="2"/>
  <c r="D24" i="2" s="1"/>
  <c r="C24" i="1"/>
  <c r="E28" i="3"/>
  <c r="D28" i="3" s="1"/>
  <c r="D75" i="1"/>
  <c r="D79" i="1"/>
  <c r="E41" i="3"/>
  <c r="D41" i="3" s="1"/>
  <c r="E40" i="3"/>
  <c r="D40" i="3" s="1"/>
  <c r="E44" i="3"/>
  <c r="D44" i="3" s="1"/>
  <c r="E34" i="3"/>
  <c r="D34" i="3" s="1"/>
  <c r="C79" i="1"/>
  <c r="C7" i="1"/>
  <c r="AA52" i="3" l="1"/>
  <c r="AA50" i="2"/>
  <c r="AE98" i="1"/>
  <c r="V50" i="1"/>
  <c r="S50" i="1"/>
  <c r="X50" i="1"/>
  <c r="N50" i="1"/>
  <c r="P50" i="1"/>
  <c r="W50" i="1"/>
  <c r="AA50" i="1"/>
  <c r="O50" i="1"/>
  <c r="R50" i="1"/>
  <c r="AE47" i="1"/>
  <c r="AE50" i="1"/>
  <c r="N46" i="1"/>
  <c r="Q50" i="1"/>
  <c r="AE48" i="1"/>
  <c r="AE96" i="1"/>
  <c r="F99" i="1"/>
  <c r="AE99" i="1" s="1"/>
  <c r="N95" i="1"/>
  <c r="C14" i="4"/>
  <c r="D14" i="4" s="1"/>
  <c r="C15" i="4"/>
  <c r="D15" i="4" s="1"/>
  <c r="A18" i="4"/>
  <c r="B17" i="4"/>
  <c r="C17" i="4" l="1"/>
  <c r="D17" i="4" s="1"/>
  <c r="A19" i="4"/>
  <c r="A20" i="4" s="1"/>
  <c r="B18" i="4"/>
  <c r="A21" i="4" l="1"/>
  <c r="B20" i="4"/>
  <c r="A22" i="4"/>
  <c r="B21" i="4"/>
  <c r="C18" i="4"/>
  <c r="D18" i="4" s="1"/>
  <c r="C19" i="4"/>
  <c r="D19" i="4" s="1"/>
  <c r="C20" i="4" l="1"/>
  <c r="D20" i="4" s="1"/>
  <c r="C21" i="4"/>
  <c r="D21" i="4" s="1"/>
  <c r="A23" i="4"/>
  <c r="B22" i="4"/>
  <c r="C22" i="4" l="1"/>
  <c r="D22" i="4" s="1"/>
  <c r="A24" i="4"/>
  <c r="A25" i="4" s="1"/>
  <c r="B23" i="4"/>
  <c r="A26" i="4" l="1"/>
  <c r="B25" i="4"/>
  <c r="C23" i="4"/>
  <c r="D23" i="4" s="1"/>
  <c r="C24" i="4"/>
  <c r="D24" i="4" s="1"/>
  <c r="A27" i="4"/>
  <c r="B26" i="4"/>
  <c r="L7" i="1" l="1"/>
  <c r="L7" i="2" s="1"/>
  <c r="C25" i="4"/>
  <c r="D25" i="4" s="1"/>
  <c r="A28" i="4"/>
  <c r="B27" i="4"/>
  <c r="C26" i="4"/>
  <c r="D26" i="4" s="1"/>
  <c r="W7" i="1" l="1"/>
  <c r="W7" i="2" s="1"/>
  <c r="Q7" i="1"/>
  <c r="Q7" i="2" s="1"/>
  <c r="Y7" i="1"/>
  <c r="Y7" i="2" s="1"/>
  <c r="F7" i="1"/>
  <c r="V7" i="1"/>
  <c r="V7" i="2" s="1"/>
  <c r="A29" i="4"/>
  <c r="B28" i="4"/>
  <c r="C27" i="4"/>
  <c r="D27" i="4" s="1"/>
  <c r="B30" i="4"/>
  <c r="A30" i="4" l="1"/>
  <c r="A31" i="4" s="1"/>
  <c r="B29" i="4"/>
  <c r="C30" i="4" s="1"/>
  <c r="D30" i="4" s="1"/>
  <c r="N6" i="1"/>
  <c r="F10" i="1"/>
  <c r="AE10" i="1" s="1"/>
  <c r="F7" i="2"/>
  <c r="X12" i="1"/>
  <c r="X12" i="2" s="1"/>
  <c r="C28" i="4"/>
  <c r="D28" i="4" s="1"/>
  <c r="A32" i="4"/>
  <c r="B31" i="4"/>
  <c r="C29" i="4" l="1"/>
  <c r="D29" i="4" s="1"/>
  <c r="X17" i="1"/>
  <c r="X17" i="2" s="1"/>
  <c r="F10" i="2"/>
  <c r="AE10" i="2" s="1"/>
  <c r="N6" i="2"/>
  <c r="R17" i="1"/>
  <c r="R17" i="2" s="1"/>
  <c r="H17" i="1"/>
  <c r="A33" i="4"/>
  <c r="A34" i="4" s="1"/>
  <c r="A35" i="4" s="1"/>
  <c r="B32" i="4"/>
  <c r="C33" i="4" s="1"/>
  <c r="D33" i="4" s="1"/>
  <c r="T17" i="1"/>
  <c r="T17" i="2" s="1"/>
  <c r="N17" i="1"/>
  <c r="N17" i="2" s="1"/>
  <c r="C31" i="4"/>
  <c r="D31" i="4" s="1"/>
  <c r="B34" i="4" l="1"/>
  <c r="C32" i="4"/>
  <c r="D32" i="4" s="1"/>
  <c r="AA17" i="1"/>
  <c r="AA17" i="2" s="1"/>
  <c r="F17" i="1"/>
  <c r="V17" i="1"/>
  <c r="V17" i="2" s="1"/>
  <c r="Z17" i="1"/>
  <c r="Z17" i="2" s="1"/>
  <c r="P17" i="1"/>
  <c r="P17" i="2" s="1"/>
  <c r="U17" i="1"/>
  <c r="U17" i="2" s="1"/>
  <c r="O17" i="1"/>
  <c r="O17" i="2" s="1"/>
  <c r="H17" i="2"/>
  <c r="H16" i="2" s="1"/>
  <c r="AE16" i="2" s="1"/>
  <c r="H16" i="1"/>
  <c r="AE16" i="1" s="1"/>
  <c r="M17" i="1"/>
  <c r="M17" i="2" s="1"/>
  <c r="I17" i="1"/>
  <c r="I17" i="2" s="1"/>
  <c r="A36" i="4"/>
  <c r="A37" i="4" s="1"/>
  <c r="B35" i="4"/>
  <c r="C34" i="4"/>
  <c r="D34" i="4" s="1"/>
  <c r="A38" i="4" l="1"/>
  <c r="B37" i="4"/>
  <c r="C37" i="4" s="1"/>
  <c r="D37" i="4" s="1"/>
  <c r="F20" i="1"/>
  <c r="AE20" i="1" s="1"/>
  <c r="AE17" i="1"/>
  <c r="F17" i="2"/>
  <c r="N16" i="1"/>
  <c r="C35" i="4"/>
  <c r="D35" i="4" s="1"/>
  <c r="C36" i="4"/>
  <c r="D36" i="4" s="1"/>
  <c r="A39" i="4"/>
  <c r="B38" i="4"/>
  <c r="N16" i="2" l="1"/>
  <c r="AE17" i="2"/>
  <c r="F20" i="2"/>
  <c r="AE20" i="2" s="1"/>
  <c r="A40" i="4"/>
  <c r="B39" i="4"/>
  <c r="C38" i="4"/>
  <c r="D38" i="4" s="1"/>
  <c r="A41" i="4" l="1"/>
  <c r="B40" i="4"/>
  <c r="C40" i="4" s="1"/>
  <c r="D40" i="4" s="1"/>
  <c r="A42" i="4"/>
  <c r="A43" i="4" s="1"/>
  <c r="B41" i="4"/>
  <c r="C39" i="4"/>
  <c r="D39" i="4" s="1"/>
  <c r="B42" i="4"/>
  <c r="B46" i="4"/>
  <c r="A44" i="4" l="1"/>
  <c r="B43" i="4"/>
  <c r="C43" i="4" s="1"/>
  <c r="D43" i="4" s="1"/>
  <c r="A45" i="4"/>
  <c r="A46" i="4" s="1"/>
  <c r="A47" i="4" s="1"/>
  <c r="B44" i="4"/>
  <c r="C41" i="4"/>
  <c r="D41" i="4" s="1"/>
  <c r="C42" i="4"/>
  <c r="D42" i="4" s="1"/>
  <c r="B45" i="4"/>
  <c r="A48" i="4" l="1"/>
  <c r="B47" i="4"/>
  <c r="C44" i="4"/>
  <c r="D44" i="4" s="1"/>
  <c r="C45" i="4"/>
  <c r="D45" i="4" s="1"/>
  <c r="A49" i="4"/>
  <c r="B48" i="4"/>
  <c r="C48" i="4" s="1"/>
  <c r="D48" i="4" s="1"/>
  <c r="C46" i="4"/>
  <c r="C47" i="4" s="1"/>
  <c r="D47" i="4" s="1"/>
  <c r="B50" i="4"/>
  <c r="A50" i="4" l="1"/>
  <c r="A51" i="4" s="1"/>
  <c r="A52" i="4" s="1"/>
  <c r="B49" i="4"/>
  <c r="C49" i="4" s="1"/>
  <c r="D49" i="4" s="1"/>
  <c r="B53" i="4"/>
  <c r="D46" i="4"/>
  <c r="C51" i="4"/>
  <c r="D51" i="4" s="1"/>
  <c r="C50" i="4"/>
  <c r="D50" i="4" s="1"/>
  <c r="A53" i="4" l="1"/>
  <c r="A54" i="4" s="1"/>
  <c r="A55" i="4" s="1"/>
  <c r="B52" i="4"/>
  <c r="C53" i="4" s="1"/>
  <c r="D53" i="4" s="1"/>
  <c r="C54" i="4"/>
  <c r="D54" i="4" s="1"/>
  <c r="L54" i="1"/>
  <c r="L7" i="3" s="1"/>
  <c r="Q42" i="1"/>
  <c r="Q22" i="1"/>
  <c r="AA42" i="1"/>
  <c r="AA42" i="2" s="1"/>
  <c r="Z54" i="1"/>
  <c r="Z7" i="3" s="1"/>
  <c r="Y22" i="1"/>
  <c r="Y22" i="2" s="1"/>
  <c r="N42" i="1"/>
  <c r="M22" i="1"/>
  <c r="M22" i="2" s="1"/>
  <c r="U42" i="1"/>
  <c r="U42" i="2" s="1"/>
  <c r="I22" i="1"/>
  <c r="I22" i="2" s="1"/>
  <c r="W22" i="1"/>
  <c r="T42" i="1"/>
  <c r="AA37" i="1"/>
  <c r="AA37" i="2" s="1"/>
  <c r="G54" i="1"/>
  <c r="G7" i="3" s="1"/>
  <c r="F54" i="1"/>
  <c r="T22" i="1"/>
  <c r="P42" i="1"/>
  <c r="N37" i="1"/>
  <c r="F37" i="1"/>
  <c r="S54" i="1"/>
  <c r="O42" i="1"/>
  <c r="I54" i="1"/>
  <c r="I7" i="3" s="1"/>
  <c r="H22" i="1"/>
  <c r="T54" i="1"/>
  <c r="N22" i="1"/>
  <c r="I42" i="1"/>
  <c r="I42" i="2" s="1"/>
  <c r="R37" i="1"/>
  <c r="W37" i="1"/>
  <c r="G42" i="1"/>
  <c r="G42" i="2" s="1"/>
  <c r="P22" i="1"/>
  <c r="U22" i="1"/>
  <c r="U22" i="2" s="1"/>
  <c r="Z37" i="1"/>
  <c r="Z37" i="2" s="1"/>
  <c r="G37" i="1"/>
  <c r="G37" i="2" s="1"/>
  <c r="O22" i="1"/>
  <c r="Y42" i="1"/>
  <c r="Y42" i="2" s="1"/>
  <c r="I37" i="1"/>
  <c r="I37" i="2" s="1"/>
  <c r="J54" i="1"/>
  <c r="J7" i="3" s="1"/>
  <c r="O54" i="1"/>
  <c r="V42" i="1"/>
  <c r="F22" i="1"/>
  <c r="P54" i="1"/>
  <c r="G22" i="1"/>
  <c r="G22" i="2" s="1"/>
  <c r="K54" i="1"/>
  <c r="K7" i="3" s="1"/>
  <c r="Z22" i="1"/>
  <c r="Z22" i="2" s="1"/>
  <c r="K22" i="1"/>
  <c r="K22" i="2" s="1"/>
  <c r="V54" i="1"/>
  <c r="J42" i="1"/>
  <c r="J42" i="2" s="1"/>
  <c r="V22" i="1"/>
  <c r="S37" i="1"/>
  <c r="X42" i="1"/>
  <c r="L37" i="1"/>
  <c r="L37" i="2" s="1"/>
  <c r="AA54" i="1"/>
  <c r="AA7" i="3" s="1"/>
  <c r="Q37" i="1"/>
  <c r="X54" i="1"/>
  <c r="T37" i="1"/>
  <c r="R22" i="1"/>
  <c r="S42" i="1"/>
  <c r="AA22" i="1"/>
  <c r="AA22" i="2" s="1"/>
  <c r="P37" i="1"/>
  <c r="N54" i="1"/>
  <c r="M42" i="1"/>
  <c r="M42" i="2" s="1"/>
  <c r="O37" i="1"/>
  <c r="J22" i="1"/>
  <c r="J22" i="2" s="1"/>
  <c r="U54" i="1"/>
  <c r="U7" i="3" s="1"/>
  <c r="X22" i="1"/>
  <c r="L22" i="1"/>
  <c r="L22" i="2" s="1"/>
  <c r="S22" i="1"/>
  <c r="X37" i="1"/>
  <c r="M54" i="1"/>
  <c r="M7" i="3" s="1"/>
  <c r="H37" i="1"/>
  <c r="Y54" i="1"/>
  <c r="Y7" i="3" s="1"/>
  <c r="Q54" i="1"/>
  <c r="R42" i="1"/>
  <c r="R54" i="1"/>
  <c r="K42" i="1"/>
  <c r="K42" i="2" s="1"/>
  <c r="V37" i="1"/>
  <c r="H42" i="1"/>
  <c r="L42" i="1"/>
  <c r="L42" i="2" s="1"/>
  <c r="W54" i="1"/>
  <c r="J37" i="1"/>
  <c r="J37" i="2" s="1"/>
  <c r="W42" i="1"/>
  <c r="F42" i="1"/>
  <c r="Z42" i="1"/>
  <c r="Z42" i="2" s="1"/>
  <c r="K37" i="1"/>
  <c r="K37" i="2" s="1"/>
  <c r="M37" i="1"/>
  <c r="M37" i="2" s="1"/>
  <c r="U37" i="1"/>
  <c r="U37" i="2" s="1"/>
  <c r="H54" i="1"/>
  <c r="Y37" i="1"/>
  <c r="Y37" i="2" s="1"/>
  <c r="C52" i="4" l="1"/>
  <c r="D52" i="4" s="1"/>
  <c r="A56" i="4"/>
  <c r="B55" i="4"/>
  <c r="C55" i="4" s="1"/>
  <c r="D55" i="4" s="1"/>
  <c r="N42" i="2"/>
  <c r="Q22" i="2"/>
  <c r="O7" i="3"/>
  <c r="H42" i="2"/>
  <c r="H41" i="2" s="1"/>
  <c r="AE41" i="2" s="1"/>
  <c r="H41" i="1"/>
  <c r="AE41" i="1" s="1"/>
  <c r="V37" i="2"/>
  <c r="O37" i="2"/>
  <c r="N7" i="3"/>
  <c r="P37" i="2"/>
  <c r="N22" i="2"/>
  <c r="V7" i="3"/>
  <c r="W37" i="2"/>
  <c r="H22" i="2"/>
  <c r="H21" i="2" s="1"/>
  <c r="AE21" i="2" s="1"/>
  <c r="H21" i="1"/>
  <c r="AE21" i="1" s="1"/>
  <c r="S22" i="2"/>
  <c r="X22" i="2"/>
  <c r="R37" i="2"/>
  <c r="F45" i="1"/>
  <c r="AE45" i="1" s="1"/>
  <c r="AE42" i="1"/>
  <c r="F42" i="2"/>
  <c r="N41" i="1"/>
  <c r="T37" i="2"/>
  <c r="X42" i="2"/>
  <c r="P7" i="3"/>
  <c r="Q42" i="2"/>
  <c r="R22" i="2"/>
  <c r="X7" i="3"/>
  <c r="S37" i="2"/>
  <c r="P22" i="2"/>
  <c r="R42" i="2"/>
  <c r="T7" i="3"/>
  <c r="T22" i="2"/>
  <c r="T42" i="2"/>
  <c r="Q7" i="3"/>
  <c r="N37" i="2"/>
  <c r="F57" i="1"/>
  <c r="AE57" i="1" s="1"/>
  <c r="N53" i="1"/>
  <c r="AE54" i="1"/>
  <c r="F7" i="3"/>
  <c r="W22" i="2"/>
  <c r="O42" i="2"/>
  <c r="W7" i="3"/>
  <c r="R7" i="3"/>
  <c r="X37" i="2"/>
  <c r="F25" i="1"/>
  <c r="AE25" i="1" s="1"/>
  <c r="AE22" i="1"/>
  <c r="F22" i="2"/>
  <c r="N21" i="1"/>
  <c r="V42" i="2"/>
  <c r="H7" i="3"/>
  <c r="H6" i="3" s="1"/>
  <c r="H53" i="1"/>
  <c r="AE53" i="1" s="1"/>
  <c r="Q37" i="2"/>
  <c r="V22" i="2"/>
  <c r="O22" i="2"/>
  <c r="S7" i="3"/>
  <c r="AE37" i="1"/>
  <c r="F40" i="1"/>
  <c r="AE40" i="1" s="1"/>
  <c r="F37" i="2"/>
  <c r="N36" i="1"/>
  <c r="P42" i="2"/>
  <c r="W42" i="2"/>
  <c r="H37" i="2"/>
  <c r="H36" i="2" s="1"/>
  <c r="AE36" i="2" s="1"/>
  <c r="H36" i="1"/>
  <c r="AE36" i="1" s="1"/>
  <c r="S42" i="2"/>
  <c r="B56" i="4" l="1"/>
  <c r="A57" i="4"/>
  <c r="A58" i="4" s="1"/>
  <c r="A59" i="4" s="1"/>
  <c r="Y59" i="1"/>
  <c r="Y12" i="3" s="1"/>
  <c r="P59" i="1"/>
  <c r="P12" i="3" s="1"/>
  <c r="R59" i="1"/>
  <c r="R12" i="3" s="1"/>
  <c r="N59" i="1"/>
  <c r="N12" i="3" s="1"/>
  <c r="S59" i="1"/>
  <c r="S12" i="3" s="1"/>
  <c r="U59" i="1"/>
  <c r="U12" i="3" s="1"/>
  <c r="AA59" i="1"/>
  <c r="AA12" i="3" s="1"/>
  <c r="H59" i="1"/>
  <c r="K59" i="1"/>
  <c r="K12" i="3" s="1"/>
  <c r="Q59" i="1"/>
  <c r="Q12" i="3" s="1"/>
  <c r="W59" i="1"/>
  <c r="W12" i="3" s="1"/>
  <c r="O59" i="1"/>
  <c r="O12" i="3" s="1"/>
  <c r="T59" i="1"/>
  <c r="T12" i="3" s="1"/>
  <c r="M59" i="1"/>
  <c r="M12" i="3" s="1"/>
  <c r="I59" i="1"/>
  <c r="I12" i="3" s="1"/>
  <c r="L59" i="1"/>
  <c r="L12" i="3" s="1"/>
  <c r="J59" i="1"/>
  <c r="J12" i="3" s="1"/>
  <c r="Z59" i="1"/>
  <c r="Z12" i="3" s="1"/>
  <c r="F59" i="1"/>
  <c r="X59" i="1"/>
  <c r="X12" i="3" s="1"/>
  <c r="V59" i="1"/>
  <c r="V12" i="3" s="1"/>
  <c r="G59" i="1"/>
  <c r="G12" i="3" s="1"/>
  <c r="F10" i="3"/>
  <c r="AE10" i="3" s="1"/>
  <c r="N6" i="3"/>
  <c r="AE7" i="3"/>
  <c r="F40" i="2"/>
  <c r="AE40" i="2" s="1"/>
  <c r="N36" i="2"/>
  <c r="AE37" i="2"/>
  <c r="AE6" i="3"/>
  <c r="N21" i="2"/>
  <c r="AE22" i="2"/>
  <c r="F25" i="2"/>
  <c r="AE25" i="2" s="1"/>
  <c r="AE42" i="2"/>
  <c r="F45" i="2"/>
  <c r="AE45" i="2" s="1"/>
  <c r="N41" i="2"/>
  <c r="H58" i="1" l="1"/>
  <c r="AE58" i="1" s="1"/>
  <c r="H12" i="3"/>
  <c r="H11" i="3" s="1"/>
  <c r="AE11" i="3" s="1"/>
  <c r="F62" i="1"/>
  <c r="AE62" i="1" s="1"/>
  <c r="F12" i="3"/>
  <c r="N58" i="1"/>
  <c r="AE59" i="1"/>
  <c r="A60" i="4"/>
  <c r="A61" i="4" s="1"/>
  <c r="A62" i="4" s="1"/>
  <c r="A63" i="4" s="1"/>
  <c r="A64" i="4" s="1"/>
  <c r="A65" i="4" s="1"/>
  <c r="A66" i="4" s="1"/>
  <c r="B59" i="4"/>
  <c r="C57" i="4"/>
  <c r="D57" i="4" s="1"/>
  <c r="C56" i="4"/>
  <c r="D56" i="4" s="1"/>
  <c r="Z84" i="1" l="1"/>
  <c r="Z37" i="3" s="1"/>
  <c r="M84" i="1"/>
  <c r="M37" i="3" s="1"/>
  <c r="N84" i="1"/>
  <c r="N37" i="3" s="1"/>
  <c r="X84" i="1"/>
  <c r="X37" i="3" s="1"/>
  <c r="T84" i="1"/>
  <c r="T37" i="3" s="1"/>
  <c r="AA84" i="1"/>
  <c r="AA37" i="3" s="1"/>
  <c r="C60" i="4"/>
  <c r="D60" i="4" s="1"/>
  <c r="C59" i="4"/>
  <c r="D59" i="4" s="1"/>
  <c r="AE12" i="3"/>
  <c r="F15" i="3"/>
  <c r="AE15" i="3" s="1"/>
  <c r="N11" i="3"/>
  <c r="L91" i="1"/>
  <c r="L44" i="3" s="1"/>
  <c r="AA91" i="1"/>
  <c r="AA44" i="3" s="1"/>
  <c r="Q91" i="1"/>
  <c r="AA85" i="1"/>
  <c r="AA38" i="3" s="1"/>
  <c r="T85" i="1"/>
  <c r="R85" i="1"/>
  <c r="I91" i="1"/>
  <c r="I44" i="3" s="1"/>
  <c r="J91" i="1"/>
  <c r="J44" i="3" s="1"/>
  <c r="N91" i="1"/>
  <c r="X61" i="1"/>
  <c r="X14" i="3" s="1"/>
  <c r="Z85" i="1"/>
  <c r="Z38" i="3" s="1"/>
  <c r="R61" i="1"/>
  <c r="R14" i="3" s="1"/>
  <c r="S91" i="1"/>
  <c r="X91" i="1"/>
  <c r="S66" i="1"/>
  <c r="S19" i="3" s="1"/>
  <c r="K91" i="1"/>
  <c r="K44" i="3" s="1"/>
  <c r="G91" i="1"/>
  <c r="G44" i="3" s="1"/>
  <c r="Y91" i="1"/>
  <c r="Y44" i="3" s="1"/>
  <c r="G85" i="1"/>
  <c r="G38" i="3" s="1"/>
  <c r="T91" i="1"/>
  <c r="O91" i="1"/>
  <c r="R91" i="1"/>
  <c r="O85" i="1"/>
  <c r="S34" i="1"/>
  <c r="S34" i="2" s="1"/>
  <c r="Y85" i="1"/>
  <c r="Y38" i="3" s="1"/>
  <c r="I85" i="1"/>
  <c r="I38" i="3" s="1"/>
  <c r="F71" i="1"/>
  <c r="P91" i="1"/>
  <c r="U91" i="1"/>
  <c r="U44" i="3" s="1"/>
  <c r="H91" i="1"/>
  <c r="R71" i="1"/>
  <c r="R24" i="3" s="1"/>
  <c r="L38" i="1"/>
  <c r="L38" i="2" s="1"/>
  <c r="M85" i="1"/>
  <c r="M38" i="3" s="1"/>
  <c r="V85" i="1"/>
  <c r="S85" i="1"/>
  <c r="W9" i="1"/>
  <c r="W9" i="2" s="1"/>
  <c r="N80" i="1"/>
  <c r="N33" i="3" s="1"/>
  <c r="Q85" i="1"/>
  <c r="Q93" i="1"/>
  <c r="Q46" i="3" s="1"/>
  <c r="F91" i="1"/>
  <c r="S70" i="1"/>
  <c r="S23" i="3" s="1"/>
  <c r="V70" i="1"/>
  <c r="V23" i="3" s="1"/>
  <c r="J85" i="1"/>
  <c r="J38" i="3" s="1"/>
  <c r="M91" i="1"/>
  <c r="M44" i="3" s="1"/>
  <c r="N60" i="1"/>
  <c r="N85" i="1"/>
  <c r="L85" i="1"/>
  <c r="L38" i="3" s="1"/>
  <c r="U81" i="1"/>
  <c r="U34" i="3" s="1"/>
  <c r="K19" i="1"/>
  <c r="K19" i="2" s="1"/>
  <c r="H87" i="1"/>
  <c r="H40" i="3" s="1"/>
  <c r="V91" i="1"/>
  <c r="R38" i="1"/>
  <c r="J75" i="1"/>
  <c r="J28" i="3" s="1"/>
  <c r="L74" i="1"/>
  <c r="L27" i="3" s="1"/>
  <c r="X85" i="1"/>
  <c r="S38" i="1"/>
  <c r="P23" i="1"/>
  <c r="G61" i="1"/>
  <c r="G14" i="3" s="1"/>
  <c r="G60" i="1"/>
  <c r="G13" i="3" s="1"/>
  <c r="N64" i="1"/>
  <c r="R9" i="1"/>
  <c r="R9" i="2" s="1"/>
  <c r="U85" i="1"/>
  <c r="U38" i="3" s="1"/>
  <c r="P70" i="1"/>
  <c r="P23" i="3" s="1"/>
  <c r="H61" i="1"/>
  <c r="H14" i="3" s="1"/>
  <c r="F85" i="1"/>
  <c r="W33" i="1"/>
  <c r="W33" i="2" s="1"/>
  <c r="Q29" i="1"/>
  <c r="Q29" i="2" s="1"/>
  <c r="I9" i="1"/>
  <c r="I9" i="2" s="1"/>
  <c r="S69" i="1"/>
  <c r="Y93" i="1"/>
  <c r="Y46" i="3" s="1"/>
  <c r="O23" i="1"/>
  <c r="G44" i="1"/>
  <c r="G44" i="2" s="1"/>
  <c r="U76" i="1"/>
  <c r="U29" i="3" s="1"/>
  <c r="Z91" i="1"/>
  <c r="Z44" i="3" s="1"/>
  <c r="J69" i="1"/>
  <c r="J22" i="3" s="1"/>
  <c r="W91" i="1"/>
  <c r="X80" i="1"/>
  <c r="X33" i="3" s="1"/>
  <c r="P86" i="1"/>
  <c r="P39" i="3" s="1"/>
  <c r="S64" i="1"/>
  <c r="W85" i="1"/>
  <c r="AA8" i="1"/>
  <c r="AA8" i="2" s="1"/>
  <c r="Y64" i="1"/>
  <c r="Y17" i="3" s="1"/>
  <c r="Z93" i="1"/>
  <c r="Z46" i="3" s="1"/>
  <c r="K85" i="1"/>
  <c r="K38" i="3" s="1"/>
  <c r="U86" i="1"/>
  <c r="U39" i="3" s="1"/>
  <c r="P39" i="1"/>
  <c r="P39" i="2" s="1"/>
  <c r="V80" i="1"/>
  <c r="V33" i="3" s="1"/>
  <c r="V93" i="1"/>
  <c r="V46" i="3" s="1"/>
  <c r="S44" i="1"/>
  <c r="S44" i="2" s="1"/>
  <c r="L88" i="1"/>
  <c r="L41" i="3" s="1"/>
  <c r="W43" i="1"/>
  <c r="P56" i="1"/>
  <c r="P9" i="3" s="1"/>
  <c r="N61" i="1"/>
  <c r="N14" i="3" s="1"/>
  <c r="H85" i="1"/>
  <c r="H38" i="3" s="1"/>
  <c r="R69" i="1"/>
  <c r="V27" i="1"/>
  <c r="AA55" i="1"/>
  <c r="AA8" i="3" s="1"/>
  <c r="P85" i="1"/>
  <c r="X19" i="1"/>
  <c r="X19" i="2" s="1"/>
  <c r="R65" i="1"/>
  <c r="R18" i="3" s="1"/>
  <c r="R76" i="1"/>
  <c r="R29" i="3" s="1"/>
  <c r="U38" i="1"/>
  <c r="U38" i="2" s="1"/>
  <c r="W28" i="1"/>
  <c r="W28" i="2" s="1"/>
  <c r="S79" i="1"/>
  <c r="O14" i="1"/>
  <c r="O14" i="2" s="1"/>
  <c r="U64" i="1"/>
  <c r="U17" i="3" s="1"/>
  <c r="F34" i="1"/>
  <c r="U74" i="1"/>
  <c r="U27" i="3" s="1"/>
  <c r="W38" i="1"/>
  <c r="G43" i="1"/>
  <c r="G43" i="2" s="1"/>
  <c r="N33" i="1"/>
  <c r="N33" i="2" s="1"/>
  <c r="K74" i="1"/>
  <c r="K27" i="3" s="1"/>
  <c r="R99" i="1" l="1"/>
  <c r="G84" i="1"/>
  <c r="G37" i="3" s="1"/>
  <c r="Z65" i="1"/>
  <c r="Z18" i="3" s="1"/>
  <c r="Y71" i="1"/>
  <c r="Y24" i="3" s="1"/>
  <c r="F14" i="1"/>
  <c r="S43" i="1"/>
  <c r="X28" i="1"/>
  <c r="X28" i="2" s="1"/>
  <c r="N66" i="1"/>
  <c r="N19" i="3" s="1"/>
  <c r="W44" i="1"/>
  <c r="W44" i="2" s="1"/>
  <c r="L28" i="1"/>
  <c r="L28" i="2" s="1"/>
  <c r="G80" i="1"/>
  <c r="G33" i="3" s="1"/>
  <c r="O27" i="1"/>
  <c r="O27" i="2" s="1"/>
  <c r="L92" i="1"/>
  <c r="L45" i="3" s="1"/>
  <c r="N76" i="1"/>
  <c r="N29" i="3" s="1"/>
  <c r="L87" i="1"/>
  <c r="L40" i="3" s="1"/>
  <c r="S76" i="1"/>
  <c r="S29" i="3" s="1"/>
  <c r="I93" i="1"/>
  <c r="I46" i="3" s="1"/>
  <c r="L75" i="1"/>
  <c r="L28" i="3" s="1"/>
  <c r="H64" i="1"/>
  <c r="W79" i="1"/>
  <c r="W32" i="3" s="1"/>
  <c r="X60" i="1"/>
  <c r="I64" i="1"/>
  <c r="I17" i="3" s="1"/>
  <c r="J32" i="1"/>
  <c r="J32" i="2" s="1"/>
  <c r="Z38" i="1"/>
  <c r="Z38" i="2" s="1"/>
  <c r="O32" i="1"/>
  <c r="O32" i="2" s="1"/>
  <c r="I92" i="1"/>
  <c r="I45" i="3" s="1"/>
  <c r="N70" i="1"/>
  <c r="N23" i="3" s="1"/>
  <c r="Y33" i="1"/>
  <c r="Y33" i="2" s="1"/>
  <c r="S27" i="1"/>
  <c r="T75" i="1"/>
  <c r="T28" i="3" s="1"/>
  <c r="L39" i="1"/>
  <c r="L39" i="2" s="1"/>
  <c r="F61" i="1"/>
  <c r="AA61" i="1"/>
  <c r="AA14" i="3" s="1"/>
  <c r="Q64" i="1"/>
  <c r="I60" i="1"/>
  <c r="I13" i="3" s="1"/>
  <c r="Z80" i="1"/>
  <c r="Z33" i="3" s="1"/>
  <c r="F9" i="1"/>
  <c r="AA76" i="1"/>
  <c r="AA29" i="3" s="1"/>
  <c r="P8" i="1"/>
  <c r="P8" i="2" s="1"/>
  <c r="P66" i="1"/>
  <c r="P19" i="3" s="1"/>
  <c r="K9" i="1"/>
  <c r="K9" i="2" s="1"/>
  <c r="R92" i="1"/>
  <c r="R45" i="3" s="1"/>
  <c r="M60" i="1"/>
  <c r="M13" i="3" s="1"/>
  <c r="T8" i="1"/>
  <c r="T8" i="2" s="1"/>
  <c r="Y65" i="1"/>
  <c r="Y18" i="3" s="1"/>
  <c r="K56" i="1"/>
  <c r="K9" i="3" s="1"/>
  <c r="V79" i="1"/>
  <c r="V32" i="3" s="1"/>
  <c r="V69" i="1"/>
  <c r="I33" i="1"/>
  <c r="I33" i="2" s="1"/>
  <c r="U55" i="1"/>
  <c r="U8" i="3" s="1"/>
  <c r="I55" i="1"/>
  <c r="I8" i="3" s="1"/>
  <c r="M71" i="1"/>
  <c r="M24" i="3" s="1"/>
  <c r="Y14" i="1"/>
  <c r="Y14" i="2" s="1"/>
  <c r="L14" i="1"/>
  <c r="L14" i="2" s="1"/>
  <c r="U56" i="1"/>
  <c r="U9" i="3" s="1"/>
  <c r="L65" i="1"/>
  <c r="L18" i="3" s="1"/>
  <c r="R80" i="1"/>
  <c r="R33" i="3" s="1"/>
  <c r="X24" i="1"/>
  <c r="X24" i="2" s="1"/>
  <c r="N55" i="1"/>
  <c r="J44" i="1"/>
  <c r="J44" i="2" s="1"/>
  <c r="Y75" i="1"/>
  <c r="Y28" i="3" s="1"/>
  <c r="O76" i="1"/>
  <c r="O29" i="3" s="1"/>
  <c r="G32" i="1"/>
  <c r="G32" i="2" s="1"/>
  <c r="K29" i="1"/>
  <c r="K29" i="2" s="1"/>
  <c r="AA19" i="1"/>
  <c r="AA19" i="2" s="1"/>
  <c r="P19" i="1"/>
  <c r="P19" i="2" s="1"/>
  <c r="J87" i="1"/>
  <c r="J40" i="3" s="1"/>
  <c r="J61" i="1"/>
  <c r="J14" i="3" s="1"/>
  <c r="X88" i="1"/>
  <c r="X41" i="3" s="1"/>
  <c r="X71" i="1"/>
  <c r="X24" i="3" s="1"/>
  <c r="I70" i="1"/>
  <c r="I23" i="3" s="1"/>
  <c r="N43" i="1"/>
  <c r="N43" i="2" s="1"/>
  <c r="S8" i="1"/>
  <c r="S8" i="2" s="1"/>
  <c r="O86" i="1"/>
  <c r="O39" i="3" s="1"/>
  <c r="L27" i="1"/>
  <c r="L27" i="2" s="1"/>
  <c r="K32" i="1"/>
  <c r="K32" i="2" s="1"/>
  <c r="R93" i="1"/>
  <c r="R46" i="3" s="1"/>
  <c r="G38" i="1"/>
  <c r="G38" i="2" s="1"/>
  <c r="Q61" i="1"/>
  <c r="Q14" i="3" s="1"/>
  <c r="F70" i="1"/>
  <c r="G39" i="1"/>
  <c r="G39" i="2" s="1"/>
  <c r="N74" i="1"/>
  <c r="G79" i="1"/>
  <c r="G32" i="3" s="1"/>
  <c r="Y88" i="1"/>
  <c r="Y41" i="3" s="1"/>
  <c r="Q32" i="1"/>
  <c r="X38" i="1"/>
  <c r="AA88" i="1"/>
  <c r="AA41" i="3" s="1"/>
  <c r="AA34" i="1"/>
  <c r="AA34" i="2" s="1"/>
  <c r="O38" i="1"/>
  <c r="O38" i="2" s="1"/>
  <c r="AA28" i="1"/>
  <c r="AA28" i="2" s="1"/>
  <c r="J34" i="1"/>
  <c r="J34" i="2" s="1"/>
  <c r="R14" i="1"/>
  <c r="R14" i="2" s="1"/>
  <c r="AA71" i="1"/>
  <c r="AA24" i="3" s="1"/>
  <c r="J27" i="1"/>
  <c r="J27" i="2" s="1"/>
  <c r="X64" i="1"/>
  <c r="X17" i="3" s="1"/>
  <c r="J56" i="1"/>
  <c r="J9" i="3" s="1"/>
  <c r="H29" i="1"/>
  <c r="H29" i="2" s="1"/>
  <c r="G19" i="1"/>
  <c r="G19" i="2" s="1"/>
  <c r="U80" i="1"/>
  <c r="U33" i="3" s="1"/>
  <c r="T88" i="1"/>
  <c r="T41" i="3" s="1"/>
  <c r="O8" i="1"/>
  <c r="O8" i="2" s="1"/>
  <c r="Q69" i="1"/>
  <c r="I76" i="1"/>
  <c r="I29" i="3" s="1"/>
  <c r="H93" i="1"/>
  <c r="H46" i="3" s="1"/>
  <c r="J88" i="1"/>
  <c r="J41" i="3" s="1"/>
  <c r="W55" i="1"/>
  <c r="N34" i="1"/>
  <c r="N34" i="2" s="1"/>
  <c r="F55" i="1"/>
  <c r="AE55" i="1" s="1"/>
  <c r="J79" i="1"/>
  <c r="J32" i="3" s="1"/>
  <c r="X74" i="1"/>
  <c r="Y70" i="1"/>
  <c r="Y23" i="3" s="1"/>
  <c r="Z27" i="1"/>
  <c r="Z27" i="2" s="1"/>
  <c r="J28" i="1"/>
  <c r="J28" i="2" s="1"/>
  <c r="M92" i="1"/>
  <c r="M45" i="3" s="1"/>
  <c r="Q65" i="1"/>
  <c r="Q18" i="3" s="1"/>
  <c r="K87" i="1"/>
  <c r="K40" i="3" s="1"/>
  <c r="W93" i="1"/>
  <c r="W46" i="3" s="1"/>
  <c r="G9" i="1"/>
  <c r="G9" i="2" s="1"/>
  <c r="O87" i="1"/>
  <c r="O40" i="3" s="1"/>
  <c r="T27" i="1"/>
  <c r="T27" i="2" s="1"/>
  <c r="W69" i="1"/>
  <c r="W22" i="3" s="1"/>
  <c r="R64" i="1"/>
  <c r="AA81" i="1"/>
  <c r="AA34" i="3" s="1"/>
  <c r="K60" i="1"/>
  <c r="K13" i="3" s="1"/>
  <c r="P64" i="1"/>
  <c r="F8" i="1"/>
  <c r="M32" i="1"/>
  <c r="M32" i="2" s="1"/>
  <c r="G33" i="1"/>
  <c r="G33" i="2" s="1"/>
  <c r="J14" i="1"/>
  <c r="J14" i="2" s="1"/>
  <c r="Z28" i="1"/>
  <c r="Z28" i="2" s="1"/>
  <c r="S55" i="1"/>
  <c r="R43" i="1"/>
  <c r="H23" i="1"/>
  <c r="H23" i="2" s="1"/>
  <c r="M88" i="1"/>
  <c r="M41" i="3" s="1"/>
  <c r="O75" i="1"/>
  <c r="O28" i="3" s="1"/>
  <c r="M61" i="1"/>
  <c r="M14" i="3" s="1"/>
  <c r="O43" i="1"/>
  <c r="R27" i="1"/>
  <c r="V71" i="1"/>
  <c r="V24" i="3" s="1"/>
  <c r="W92" i="1"/>
  <c r="W45" i="3" s="1"/>
  <c r="V14" i="1"/>
  <c r="V14" i="2" s="1"/>
  <c r="N79" i="1"/>
  <c r="R66" i="1"/>
  <c r="R19" i="3" s="1"/>
  <c r="N29" i="1"/>
  <c r="N29" i="2" s="1"/>
  <c r="V43" i="1"/>
  <c r="V43" i="2" s="1"/>
  <c r="H56" i="1"/>
  <c r="H9" i="3" s="1"/>
  <c r="F65" i="1"/>
  <c r="G76" i="1"/>
  <c r="G29" i="3" s="1"/>
  <c r="P79" i="1"/>
  <c r="H76" i="1"/>
  <c r="H29" i="3" s="1"/>
  <c r="Z86" i="1"/>
  <c r="Z39" i="3" s="1"/>
  <c r="Y19" i="1"/>
  <c r="Y19" i="2" s="1"/>
  <c r="Q79" i="1"/>
  <c r="Q32" i="3" s="1"/>
  <c r="Z76" i="1"/>
  <c r="Z29" i="3" s="1"/>
  <c r="Y23" i="1"/>
  <c r="Y23" i="2" s="1"/>
  <c r="AA24" i="1"/>
  <c r="AA24" i="2" s="1"/>
  <c r="V81" i="1"/>
  <c r="V34" i="3" s="1"/>
  <c r="F23" i="1"/>
  <c r="U8" i="1"/>
  <c r="U8" i="2" s="1"/>
  <c r="G23" i="1"/>
  <c r="G23" i="2" s="1"/>
  <c r="K27" i="1"/>
  <c r="K27" i="2" s="1"/>
  <c r="Y92" i="1"/>
  <c r="Y45" i="3" s="1"/>
  <c r="S80" i="1"/>
  <c r="S33" i="3" s="1"/>
  <c r="J9" i="1"/>
  <c r="J9" i="2" s="1"/>
  <c r="I66" i="1"/>
  <c r="I19" i="3" s="1"/>
  <c r="K61" i="1"/>
  <c r="K14" i="3" s="1"/>
  <c r="J86" i="1"/>
  <c r="J39" i="3" s="1"/>
  <c r="I39" i="1"/>
  <c r="I39" i="2" s="1"/>
  <c r="T19" i="1"/>
  <c r="T19" i="2" s="1"/>
  <c r="O70" i="1"/>
  <c r="O23" i="3" s="1"/>
  <c r="O69" i="1"/>
  <c r="S74" i="1"/>
  <c r="S27" i="3" s="1"/>
  <c r="P88" i="1"/>
  <c r="P41" i="3" s="1"/>
  <c r="F93" i="1"/>
  <c r="W19" i="1"/>
  <c r="W19" i="2" s="1"/>
  <c r="Q28" i="1"/>
  <c r="Q28" i="2" s="1"/>
  <c r="O44" i="1"/>
  <c r="O44" i="2" s="1"/>
  <c r="W24" i="1"/>
  <c r="W24" i="2" s="1"/>
  <c r="X27" i="1"/>
  <c r="W74" i="1"/>
  <c r="W27" i="3" s="1"/>
  <c r="W30" i="3" s="1"/>
  <c r="R24" i="1"/>
  <c r="R24" i="2" s="1"/>
  <c r="T28" i="1"/>
  <c r="T28" i="2" s="1"/>
  <c r="O71" i="1"/>
  <c r="O24" i="3" s="1"/>
  <c r="P71" i="1"/>
  <c r="P24" i="3" s="1"/>
  <c r="P33" i="1"/>
  <c r="P33" i="2" s="1"/>
  <c r="H8" i="1"/>
  <c r="H8" i="2" s="1"/>
  <c r="R29" i="1"/>
  <c r="R29" i="2" s="1"/>
  <c r="P14" i="1"/>
  <c r="P14" i="2" s="1"/>
  <c r="K34" i="1"/>
  <c r="K34" i="2" s="1"/>
  <c r="V65" i="1"/>
  <c r="V18" i="3" s="1"/>
  <c r="O34" i="1"/>
  <c r="O34" i="2" s="1"/>
  <c r="X86" i="1"/>
  <c r="X39" i="3" s="1"/>
  <c r="U71" i="1"/>
  <c r="U24" i="3" s="1"/>
  <c r="M64" i="1"/>
  <c r="M17" i="3" s="1"/>
  <c r="H88" i="1"/>
  <c r="H41" i="3" s="1"/>
  <c r="I56" i="1"/>
  <c r="I9" i="3" s="1"/>
  <c r="H75" i="1"/>
  <c r="H28" i="3" s="1"/>
  <c r="J38" i="1"/>
  <c r="J38" i="2" s="1"/>
  <c r="J80" i="1"/>
  <c r="J33" i="3" s="1"/>
  <c r="H79" i="1"/>
  <c r="G8" i="1"/>
  <c r="G8" i="2" s="1"/>
  <c r="H33" i="1"/>
  <c r="H33" i="2" s="1"/>
  <c r="P75" i="1"/>
  <c r="P28" i="3" s="1"/>
  <c r="P9" i="1"/>
  <c r="P9" i="2" s="1"/>
  <c r="M80" i="1"/>
  <c r="M33" i="3" s="1"/>
  <c r="T64" i="1"/>
  <c r="V64" i="1"/>
  <c r="V17" i="3" s="1"/>
  <c r="I75" i="1"/>
  <c r="I28" i="3" s="1"/>
  <c r="F33" i="1"/>
  <c r="AE33" i="1" s="1"/>
  <c r="G34" i="1"/>
  <c r="G34" i="2" s="1"/>
  <c r="R75" i="1"/>
  <c r="R28" i="3" s="1"/>
  <c r="U79" i="1"/>
  <c r="U32" i="3" s="1"/>
  <c r="N88" i="1"/>
  <c r="N41" i="3" s="1"/>
  <c r="K76" i="1"/>
  <c r="K29" i="3" s="1"/>
  <c r="T55" i="1"/>
  <c r="T8" i="3" s="1"/>
  <c r="K28" i="1"/>
  <c r="K28" i="2" s="1"/>
  <c r="T69" i="1"/>
  <c r="T22" i="3" s="1"/>
  <c r="H44" i="1"/>
  <c r="H44" i="2" s="1"/>
  <c r="F64" i="1"/>
  <c r="Q88" i="1"/>
  <c r="Q41" i="3" s="1"/>
  <c r="U65" i="1"/>
  <c r="U18" i="3" s="1"/>
  <c r="K79" i="1"/>
  <c r="K32" i="3" s="1"/>
  <c r="K24" i="1"/>
  <c r="K24" i="2" s="1"/>
  <c r="S81" i="1"/>
  <c r="S34" i="3" s="1"/>
  <c r="J24" i="1"/>
  <c r="J24" i="2" s="1"/>
  <c r="H27" i="1"/>
  <c r="R34" i="1"/>
  <c r="R34" i="2" s="1"/>
  <c r="Y43" i="1"/>
  <c r="Y43" i="2" s="1"/>
  <c r="J43" i="1"/>
  <c r="J43" i="2" s="1"/>
  <c r="G70" i="1"/>
  <c r="G23" i="3" s="1"/>
  <c r="AA39" i="1"/>
  <c r="AA39" i="2" s="1"/>
  <c r="U93" i="1"/>
  <c r="U46" i="3" s="1"/>
  <c r="L70" i="1"/>
  <c r="L23" i="3" s="1"/>
  <c r="AA56" i="1"/>
  <c r="AA9" i="3" s="1"/>
  <c r="M69" i="1"/>
  <c r="M22" i="3" s="1"/>
  <c r="T38" i="1"/>
  <c r="T38" i="2" s="1"/>
  <c r="Z8" i="1"/>
  <c r="Z8" i="2" s="1"/>
  <c r="U66" i="1"/>
  <c r="U19" i="3" s="1"/>
  <c r="N93" i="1"/>
  <c r="N46" i="3" s="1"/>
  <c r="AA65" i="1"/>
  <c r="AA18" i="3" s="1"/>
  <c r="L64" i="1"/>
  <c r="L17" i="3" s="1"/>
  <c r="F44" i="1"/>
  <c r="I79" i="1"/>
  <c r="I32" i="3" s="1"/>
  <c r="T81" i="1"/>
  <c r="T34" i="3" s="1"/>
  <c r="M27" i="1"/>
  <c r="M27" i="2" s="1"/>
  <c r="N69" i="1"/>
  <c r="Z14" i="1"/>
  <c r="Z14" i="2" s="1"/>
  <c r="P93" i="1"/>
  <c r="P46" i="3" s="1"/>
  <c r="V75" i="1"/>
  <c r="V28" i="3" s="1"/>
  <c r="I29" i="1"/>
  <c r="I29" i="2" s="1"/>
  <c r="Q33" i="1"/>
  <c r="Q33" i="2" s="1"/>
  <c r="R74" i="1"/>
  <c r="R77" i="1" s="1"/>
  <c r="Q86" i="1"/>
  <c r="Q39" i="3" s="1"/>
  <c r="AA70" i="1"/>
  <c r="AA23" i="3" s="1"/>
  <c r="S18" i="1"/>
  <c r="S18" i="2" s="1"/>
  <c r="J19" i="1"/>
  <c r="J19" i="2" s="1"/>
  <c r="W70" i="1"/>
  <c r="W23" i="3" s="1"/>
  <c r="R33" i="1"/>
  <c r="R33" i="2" s="1"/>
  <c r="P44" i="1"/>
  <c r="P44" i="2" s="1"/>
  <c r="Q23" i="1"/>
  <c r="Q23" i="2" s="1"/>
  <c r="L66" i="1"/>
  <c r="L19" i="3" s="1"/>
  <c r="I88" i="1"/>
  <c r="I41" i="3" s="1"/>
  <c r="S19" i="1"/>
  <c r="S19" i="2" s="1"/>
  <c r="AA32" i="1"/>
  <c r="AA32" i="2" s="1"/>
  <c r="F38" i="1"/>
  <c r="W87" i="1"/>
  <c r="W40" i="3" s="1"/>
  <c r="K80" i="1"/>
  <c r="K33" i="3" s="1"/>
  <c r="AA64" i="1"/>
  <c r="AA17" i="3" s="1"/>
  <c r="S14" i="1"/>
  <c r="S14" i="2" s="1"/>
  <c r="H32" i="1"/>
  <c r="Z34" i="1"/>
  <c r="Z34" i="2" s="1"/>
  <c r="T71" i="1"/>
  <c r="T24" i="3" s="1"/>
  <c r="X75" i="1"/>
  <c r="X28" i="3" s="1"/>
  <c r="X69" i="1"/>
  <c r="V33" i="1"/>
  <c r="V33" i="2" s="1"/>
  <c r="H39" i="1"/>
  <c r="H39" i="2" s="1"/>
  <c r="T80" i="1"/>
  <c r="T33" i="3" s="1"/>
  <c r="U75" i="1"/>
  <c r="U28" i="3" s="1"/>
  <c r="O60" i="1"/>
  <c r="O13" i="3" s="1"/>
  <c r="O15" i="3" s="1"/>
  <c r="Z29" i="1"/>
  <c r="Z29" i="2" s="1"/>
  <c r="J74" i="1"/>
  <c r="J27" i="3" s="1"/>
  <c r="G29" i="1"/>
  <c r="G29" i="2" s="1"/>
  <c r="M34" i="1"/>
  <c r="M34" i="2" s="1"/>
  <c r="I87" i="1"/>
  <c r="I40" i="3" s="1"/>
  <c r="I86" i="1"/>
  <c r="I39" i="3" s="1"/>
  <c r="Y76" i="1"/>
  <c r="Y29" i="3" s="1"/>
  <c r="W29" i="1"/>
  <c r="W29" i="2" s="1"/>
  <c r="M66" i="1"/>
  <c r="M19" i="3" s="1"/>
  <c r="Y86" i="1"/>
  <c r="Y39" i="3" s="1"/>
  <c r="Q56" i="1"/>
  <c r="Q9" i="3" s="1"/>
  <c r="O61" i="1"/>
  <c r="O14" i="3" s="1"/>
  <c r="Z61" i="1"/>
  <c r="Z14" i="3" s="1"/>
  <c r="L9" i="1"/>
  <c r="L9" i="2" s="1"/>
  <c r="G65" i="1"/>
  <c r="G18" i="3" s="1"/>
  <c r="P76" i="1"/>
  <c r="P29" i="3" s="1"/>
  <c r="I44" i="1"/>
  <c r="I44" i="2" s="1"/>
  <c r="I38" i="1"/>
  <c r="I38" i="2" s="1"/>
  <c r="M44" i="1"/>
  <c r="M44" i="2" s="1"/>
  <c r="Q39" i="1"/>
  <c r="Q39" i="2" s="1"/>
  <c r="H92" i="1"/>
  <c r="H45" i="3" s="1"/>
  <c r="M87" i="1"/>
  <c r="M40" i="3" s="1"/>
  <c r="Q55" i="1"/>
  <c r="W61" i="1"/>
  <c r="W14" i="3" s="1"/>
  <c r="AA60" i="1"/>
  <c r="AA13" i="3" s="1"/>
  <c r="V60" i="1"/>
  <c r="V13" i="3" s="1"/>
  <c r="Y38" i="1"/>
  <c r="Y38" i="2" s="1"/>
  <c r="M33" i="1"/>
  <c r="M33" i="2" s="1"/>
  <c r="Y29" i="1"/>
  <c r="Y29" i="2" s="1"/>
  <c r="O66" i="1"/>
  <c r="O19" i="3" s="1"/>
  <c r="AA38" i="1"/>
  <c r="AA38" i="2" s="1"/>
  <c r="S86" i="1"/>
  <c r="S39" i="3" s="1"/>
  <c r="Q81" i="1"/>
  <c r="Q34" i="3" s="1"/>
  <c r="Y27" i="1"/>
  <c r="Y27" i="2" s="1"/>
  <c r="I19" i="1"/>
  <c r="I19" i="2" s="1"/>
  <c r="X8" i="1"/>
  <c r="X8" i="2" s="1"/>
  <c r="F66" i="1"/>
  <c r="AE66" i="1" s="1"/>
  <c r="R28" i="1"/>
  <c r="R28" i="2" s="1"/>
  <c r="Z55" i="1"/>
  <c r="Z8" i="3" s="1"/>
  <c r="M70" i="1"/>
  <c r="M23" i="3" s="1"/>
  <c r="S28" i="1"/>
  <c r="S28" i="2" s="1"/>
  <c r="Y44" i="1"/>
  <c r="Y44" i="2" s="1"/>
  <c r="M14" i="1"/>
  <c r="M14" i="2" s="1"/>
  <c r="P69" i="1"/>
  <c r="Q92" i="1"/>
  <c r="Q45" i="3" s="1"/>
  <c r="AA75" i="1"/>
  <c r="AA28" i="3" s="1"/>
  <c r="H81" i="1"/>
  <c r="H34" i="3" s="1"/>
  <c r="X76" i="1"/>
  <c r="X29" i="3" s="1"/>
  <c r="L34" i="1"/>
  <c r="L34" i="2" s="1"/>
  <c r="P81" i="1"/>
  <c r="P34" i="3" s="1"/>
  <c r="U61" i="1"/>
  <c r="U14" i="3" s="1"/>
  <c r="Y74" i="1"/>
  <c r="Y27" i="3" s="1"/>
  <c r="L69" i="1"/>
  <c r="L22" i="3" s="1"/>
  <c r="O65" i="1"/>
  <c r="O18" i="3" s="1"/>
  <c r="O39" i="1"/>
  <c r="O39" i="2" s="1"/>
  <c r="AA9" i="1"/>
  <c r="AA9" i="2" s="1"/>
  <c r="W14" i="1"/>
  <c r="W14" i="2" s="1"/>
  <c r="AA87" i="1"/>
  <c r="AA40" i="3" s="1"/>
  <c r="J29" i="1"/>
  <c r="J29" i="2" s="1"/>
  <c r="T32" i="1"/>
  <c r="X66" i="1"/>
  <c r="X19" i="3" s="1"/>
  <c r="V55" i="1"/>
  <c r="J33" i="1"/>
  <c r="J33" i="2" s="1"/>
  <c r="H71" i="1"/>
  <c r="H24" i="3" s="1"/>
  <c r="Q24" i="1"/>
  <c r="Q24" i="2" s="1"/>
  <c r="R8" i="1"/>
  <c r="R8" i="2" s="1"/>
  <c r="N24" i="1"/>
  <c r="N24" i="2" s="1"/>
  <c r="K14" i="1"/>
  <c r="K14" i="2" s="1"/>
  <c r="J93" i="1"/>
  <c r="J46" i="3" s="1"/>
  <c r="J81" i="1"/>
  <c r="J34" i="3" s="1"/>
  <c r="Z23" i="1"/>
  <c r="Z23" i="2" s="1"/>
  <c r="T14" i="1"/>
  <c r="T14" i="2" s="1"/>
  <c r="U19" i="1"/>
  <c r="U19" i="2" s="1"/>
  <c r="Q27" i="1"/>
  <c r="Q27" i="2" s="1"/>
  <c r="P38" i="1"/>
  <c r="X93" i="1"/>
  <c r="X46" i="3" s="1"/>
  <c r="V29" i="1"/>
  <c r="V29" i="2" s="1"/>
  <c r="M86" i="1"/>
  <c r="M39" i="3" s="1"/>
  <c r="L93" i="1"/>
  <c r="L46" i="3" s="1"/>
  <c r="Z44" i="1"/>
  <c r="Z44" i="2" s="1"/>
  <c r="H19" i="1"/>
  <c r="H19" i="2" s="1"/>
  <c r="Z81" i="1"/>
  <c r="Z34" i="3" s="1"/>
  <c r="Y24" i="1"/>
  <c r="Y24" i="2" s="1"/>
  <c r="K65" i="1"/>
  <c r="K18" i="3" s="1"/>
  <c r="O29" i="1"/>
  <c r="O29" i="2" s="1"/>
  <c r="W34" i="1"/>
  <c r="W34" i="2" s="1"/>
  <c r="AA23" i="1"/>
  <c r="AA23" i="2" s="1"/>
  <c r="X23" i="1"/>
  <c r="X23" i="2" s="1"/>
  <c r="X25" i="2" s="1"/>
  <c r="N19" i="1"/>
  <c r="N19" i="2" s="1"/>
  <c r="Y28" i="1"/>
  <c r="Y28" i="2" s="1"/>
  <c r="Z69" i="1"/>
  <c r="Z22" i="3" s="1"/>
  <c r="V34" i="1"/>
  <c r="V34" i="2" s="1"/>
  <c r="O64" i="1"/>
  <c r="O17" i="3" s="1"/>
  <c r="O20" i="3" s="1"/>
  <c r="M79" i="1"/>
  <c r="M32" i="3" s="1"/>
  <c r="AA43" i="1"/>
  <c r="AA43" i="2" s="1"/>
  <c r="G87" i="1"/>
  <c r="G40" i="3" s="1"/>
  <c r="R70" i="1"/>
  <c r="R23" i="3" s="1"/>
  <c r="Z32" i="1"/>
  <c r="Z32" i="2" s="1"/>
  <c r="Z88" i="1"/>
  <c r="Z41" i="3" s="1"/>
  <c r="AA69" i="1"/>
  <c r="AA22" i="3" s="1"/>
  <c r="U88" i="1"/>
  <c r="U41" i="3" s="1"/>
  <c r="P60" i="1"/>
  <c r="Y9" i="1"/>
  <c r="Y9" i="2" s="1"/>
  <c r="H9" i="1"/>
  <c r="H9" i="2" s="1"/>
  <c r="W64" i="1"/>
  <c r="G56" i="1"/>
  <c r="G9" i="3" s="1"/>
  <c r="AA93" i="1"/>
  <c r="AA46" i="3" s="1"/>
  <c r="K44" i="1"/>
  <c r="K44" i="2" s="1"/>
  <c r="W81" i="1"/>
  <c r="W34" i="3" s="1"/>
  <c r="Q60" i="1"/>
  <c r="J60" i="1"/>
  <c r="J13" i="3" s="1"/>
  <c r="H38" i="1"/>
  <c r="H38" i="2" s="1"/>
  <c r="T86" i="1"/>
  <c r="T39" i="3" s="1"/>
  <c r="O80" i="1"/>
  <c r="O33" i="3" s="1"/>
  <c r="Y34" i="1"/>
  <c r="Y34" i="2" s="1"/>
  <c r="M65" i="1"/>
  <c r="M18" i="3" s="1"/>
  <c r="F76" i="1"/>
  <c r="F29" i="3" s="1"/>
  <c r="AE29" i="3" s="1"/>
  <c r="M56" i="1"/>
  <c r="M9" i="3" s="1"/>
  <c r="X56" i="1"/>
  <c r="X9" i="3" s="1"/>
  <c r="X44" i="1"/>
  <c r="X44" i="2" s="1"/>
  <c r="Q71" i="1"/>
  <c r="Q24" i="3" s="1"/>
  <c r="Q34" i="1"/>
  <c r="Q34" i="2" s="1"/>
  <c r="F92" i="1"/>
  <c r="L61" i="1"/>
  <c r="L14" i="3" s="1"/>
  <c r="S33" i="1"/>
  <c r="S33" i="2" s="1"/>
  <c r="M39" i="1"/>
  <c r="M39" i="2" s="1"/>
  <c r="H55" i="1"/>
  <c r="H8" i="3" s="1"/>
  <c r="S60" i="1"/>
  <c r="S13" i="3" s="1"/>
  <c r="Y32" i="1"/>
  <c r="Y32" i="2" s="1"/>
  <c r="G55" i="1"/>
  <c r="G8" i="3" s="1"/>
  <c r="V88" i="1"/>
  <c r="V41" i="3" s="1"/>
  <c r="O33" i="1"/>
  <c r="O33" i="2" s="1"/>
  <c r="T66" i="1"/>
  <c r="T19" i="3" s="1"/>
  <c r="AA27" i="1"/>
  <c r="AA27" i="2" s="1"/>
  <c r="L55" i="1"/>
  <c r="L8" i="3" s="1"/>
  <c r="Y60" i="1"/>
  <c r="Y13" i="3" s="1"/>
  <c r="Z43" i="1"/>
  <c r="Z43" i="2" s="1"/>
  <c r="Y55" i="1"/>
  <c r="Y8" i="3" s="1"/>
  <c r="W60" i="1"/>
  <c r="F74" i="1"/>
  <c r="N65" i="1"/>
  <c r="N18" i="3" s="1"/>
  <c r="T87" i="1"/>
  <c r="T40" i="3" s="1"/>
  <c r="Z92" i="1"/>
  <c r="Z45" i="3" s="1"/>
  <c r="N27" i="1"/>
  <c r="N27" i="2" s="1"/>
  <c r="AA80" i="1"/>
  <c r="AA33" i="3" s="1"/>
  <c r="K66" i="1"/>
  <c r="K19" i="3" s="1"/>
  <c r="R32" i="1"/>
  <c r="P55" i="1"/>
  <c r="L56" i="1"/>
  <c r="L9" i="3" s="1"/>
  <c r="K75" i="1"/>
  <c r="K28" i="3" s="1"/>
  <c r="Z70" i="1"/>
  <c r="Z23" i="3" s="1"/>
  <c r="L44" i="1"/>
  <c r="L44" i="2" s="1"/>
  <c r="V9" i="1"/>
  <c r="V9" i="2" s="1"/>
  <c r="Z9" i="1"/>
  <c r="Z9" i="2" s="1"/>
  <c r="K69" i="1"/>
  <c r="K22" i="3" s="1"/>
  <c r="H43" i="1"/>
  <c r="H43" i="2" s="1"/>
  <c r="Q74" i="1"/>
  <c r="O79" i="1"/>
  <c r="W66" i="1"/>
  <c r="W19" i="3" s="1"/>
  <c r="P61" i="1"/>
  <c r="P14" i="3" s="1"/>
  <c r="Q14" i="1"/>
  <c r="Q14" i="2" s="1"/>
  <c r="S75" i="1"/>
  <c r="S28" i="3" s="1"/>
  <c r="X65" i="1"/>
  <c r="X18" i="3" s="1"/>
  <c r="U70" i="1"/>
  <c r="U23" i="3" s="1"/>
  <c r="V61" i="1"/>
  <c r="V14" i="3" s="1"/>
  <c r="R79" i="1"/>
  <c r="X79" i="1"/>
  <c r="O93" i="1"/>
  <c r="O46" i="3" s="1"/>
  <c r="I8" i="1"/>
  <c r="I8" i="2" s="1"/>
  <c r="S29" i="1"/>
  <c r="S29" i="2" s="1"/>
  <c r="R44" i="1"/>
  <c r="R44" i="2" s="1"/>
  <c r="S92" i="1"/>
  <c r="S45" i="3" s="1"/>
  <c r="X34" i="1"/>
  <c r="X34" i="2" s="1"/>
  <c r="S9" i="1"/>
  <c r="S9" i="2" s="1"/>
  <c r="M76" i="1"/>
  <c r="M29" i="3" s="1"/>
  <c r="O55" i="1"/>
  <c r="O8" i="3" s="1"/>
  <c r="I14" i="1"/>
  <c r="I14" i="2" s="1"/>
  <c r="R86" i="1"/>
  <c r="R39" i="3" s="1"/>
  <c r="Z64" i="1"/>
  <c r="Z17" i="3" s="1"/>
  <c r="W75" i="1"/>
  <c r="W28" i="3" s="1"/>
  <c r="P92" i="1"/>
  <c r="P45" i="3" s="1"/>
  <c r="Q19" i="1"/>
  <c r="Q19" i="2" s="1"/>
  <c r="P32" i="1"/>
  <c r="T79" i="1"/>
  <c r="T32" i="3" s="1"/>
  <c r="R19" i="1"/>
  <c r="R19" i="2" s="1"/>
  <c r="G64" i="1"/>
  <c r="G17" i="3" s="1"/>
  <c r="T56" i="1"/>
  <c r="T9" i="3" s="1"/>
  <c r="I69" i="1"/>
  <c r="I22" i="3" s="1"/>
  <c r="F27" i="1"/>
  <c r="F30" i="1" s="1"/>
  <c r="AE30" i="1" s="1"/>
  <c r="Z87" i="1"/>
  <c r="Z40" i="3" s="1"/>
  <c r="H74" i="1"/>
  <c r="S87" i="1"/>
  <c r="S40" i="3" s="1"/>
  <c r="T60" i="1"/>
  <c r="R88" i="1"/>
  <c r="R41" i="3" s="1"/>
  <c r="N56" i="1"/>
  <c r="N9" i="3" s="1"/>
  <c r="Q8" i="1"/>
  <c r="V23" i="1"/>
  <c r="V23" i="2" s="1"/>
  <c r="AA92" i="1"/>
  <c r="AA45" i="3" s="1"/>
  <c r="M81" i="1"/>
  <c r="M34" i="3" s="1"/>
  <c r="M93" i="1"/>
  <c r="M46" i="3" s="1"/>
  <c r="AA86" i="1"/>
  <c r="AA39" i="3" s="1"/>
  <c r="U60" i="1"/>
  <c r="U13" i="3" s="1"/>
  <c r="K43" i="1"/>
  <c r="K43" i="2" s="1"/>
  <c r="X32" i="1"/>
  <c r="L32" i="1"/>
  <c r="L32" i="2" s="1"/>
  <c r="V24" i="1"/>
  <c r="V24" i="2" s="1"/>
  <c r="F69" i="1"/>
  <c r="Y56" i="1"/>
  <c r="Y9" i="3" s="1"/>
  <c r="V28" i="1"/>
  <c r="V28" i="2" s="1"/>
  <c r="I65" i="1"/>
  <c r="I18" i="3" s="1"/>
  <c r="N23" i="1"/>
  <c r="G28" i="1"/>
  <c r="G28" i="2" s="1"/>
  <c r="G14" i="1"/>
  <c r="G14" i="2" s="1"/>
  <c r="Q38" i="1"/>
  <c r="T34" i="1"/>
  <c r="T34" i="2" s="1"/>
  <c r="L8" i="1"/>
  <c r="L8" i="2" s="1"/>
  <c r="R55" i="1"/>
  <c r="AA33" i="1"/>
  <c r="AA33" i="2" s="1"/>
  <c r="N14" i="1"/>
  <c r="N14" i="2" s="1"/>
  <c r="G74" i="1"/>
  <c r="G27" i="3" s="1"/>
  <c r="X43" i="1"/>
  <c r="X45" i="1" s="1"/>
  <c r="L43" i="1"/>
  <c r="L43" i="2" s="1"/>
  <c r="P74" i="1"/>
  <c r="M9" i="1"/>
  <c r="M9" i="2" s="1"/>
  <c r="H69" i="1"/>
  <c r="M8" i="1"/>
  <c r="M8" i="2" s="1"/>
  <c r="T76" i="1"/>
  <c r="T29" i="3" s="1"/>
  <c r="W32" i="1"/>
  <c r="L19" i="1"/>
  <c r="L19" i="2" s="1"/>
  <c r="Z75" i="1"/>
  <c r="Z28" i="3" s="1"/>
  <c r="S39" i="1"/>
  <c r="S39" i="2" s="1"/>
  <c r="Q70" i="1"/>
  <c r="Q23" i="3" s="1"/>
  <c r="K38" i="1"/>
  <c r="K38" i="2" s="1"/>
  <c r="G92" i="1"/>
  <c r="G45" i="3" s="1"/>
  <c r="W86" i="1"/>
  <c r="W39" i="3" s="1"/>
  <c r="P27" i="1"/>
  <c r="P80" i="1"/>
  <c r="P33" i="3" s="1"/>
  <c r="P34" i="1"/>
  <c r="P34" i="2" s="1"/>
  <c r="S93" i="1"/>
  <c r="S46" i="3" s="1"/>
  <c r="T29" i="1"/>
  <c r="T29" i="2" s="1"/>
  <c r="I24" i="1"/>
  <c r="I24" i="2" s="1"/>
  <c r="L86" i="1"/>
  <c r="L39" i="3" s="1"/>
  <c r="I23" i="1"/>
  <c r="I23" i="2" s="1"/>
  <c r="S24" i="1"/>
  <c r="S24" i="2" s="1"/>
  <c r="T65" i="1"/>
  <c r="T18" i="3" s="1"/>
  <c r="V8" i="1"/>
  <c r="T33" i="1"/>
  <c r="T33" i="2" s="1"/>
  <c r="N81" i="1"/>
  <c r="N34" i="3" s="1"/>
  <c r="W23" i="1"/>
  <c r="W23" i="2" s="1"/>
  <c r="W25" i="2" s="1"/>
  <c r="F32" i="1"/>
  <c r="AE32" i="1" s="1"/>
  <c r="J92" i="1"/>
  <c r="J45" i="3" s="1"/>
  <c r="X70" i="1"/>
  <c r="X23" i="3" s="1"/>
  <c r="L71" i="1"/>
  <c r="L24" i="3" s="1"/>
  <c r="O88" i="1"/>
  <c r="O41" i="3" s="1"/>
  <c r="L33" i="1"/>
  <c r="L33" i="2" s="1"/>
  <c r="M29" i="1"/>
  <c r="M29" i="2" s="1"/>
  <c r="J76" i="1"/>
  <c r="J29" i="3" s="1"/>
  <c r="K23" i="1"/>
  <c r="K23" i="2" s="1"/>
  <c r="W56" i="1"/>
  <c r="W9" i="3" s="1"/>
  <c r="F75" i="1"/>
  <c r="N38" i="1"/>
  <c r="N40" i="1" s="1"/>
  <c r="X92" i="1"/>
  <c r="X45" i="3" s="1"/>
  <c r="T9" i="1"/>
  <c r="T9" i="2" s="1"/>
  <c r="K8" i="1"/>
  <c r="K8" i="2" s="1"/>
  <c r="I74" i="1"/>
  <c r="I27" i="3" s="1"/>
  <c r="Z39" i="1"/>
  <c r="Z39" i="2" s="1"/>
  <c r="Y81" i="1"/>
  <c r="Y34" i="3" s="1"/>
  <c r="W76" i="1"/>
  <c r="W29" i="3" s="1"/>
  <c r="N32" i="1"/>
  <c r="N32" i="2" s="1"/>
  <c r="N35" i="2" s="1"/>
  <c r="L76" i="1"/>
  <c r="L29" i="3" s="1"/>
  <c r="T70" i="1"/>
  <c r="T23" i="3" s="1"/>
  <c r="N71" i="1"/>
  <c r="N24" i="3" s="1"/>
  <c r="N25" i="3" s="1"/>
  <c r="T23" i="1"/>
  <c r="K70" i="1"/>
  <c r="K23" i="3" s="1"/>
  <c r="M74" i="1"/>
  <c r="M27" i="3" s="1"/>
  <c r="J71" i="1"/>
  <c r="J24" i="3" s="1"/>
  <c r="V39" i="1"/>
  <c r="V39" i="2" s="1"/>
  <c r="L29" i="1"/>
  <c r="L29" i="2" s="1"/>
  <c r="F28" i="1"/>
  <c r="V44" i="1"/>
  <c r="V44" i="2" s="1"/>
  <c r="F79" i="1"/>
  <c r="K92" i="1"/>
  <c r="K45" i="3" s="1"/>
  <c r="P24" i="1"/>
  <c r="P24" i="2" s="1"/>
  <c r="I80" i="1"/>
  <c r="I33" i="3" s="1"/>
  <c r="Q44" i="1"/>
  <c r="Q44" i="2" s="1"/>
  <c r="U39" i="1"/>
  <c r="U39" i="2" s="1"/>
  <c r="T74" i="1"/>
  <c r="H14" i="1"/>
  <c r="H14" i="2" s="1"/>
  <c r="V74" i="1"/>
  <c r="T61" i="1"/>
  <c r="T14" i="3" s="1"/>
  <c r="X87" i="1"/>
  <c r="X40" i="3" s="1"/>
  <c r="O81" i="1"/>
  <c r="O34" i="3" s="1"/>
  <c r="Z71" i="1"/>
  <c r="Z24" i="3" s="1"/>
  <c r="S56" i="1"/>
  <c r="S9" i="3" s="1"/>
  <c r="R56" i="1"/>
  <c r="R9" i="3" s="1"/>
  <c r="K64" i="1"/>
  <c r="K17" i="3" s="1"/>
  <c r="Z60" i="1"/>
  <c r="Z13" i="3" s="1"/>
  <c r="Q75" i="1"/>
  <c r="Q28" i="3" s="1"/>
  <c r="O24" i="1"/>
  <c r="O24" i="2" s="1"/>
  <c r="G69" i="1"/>
  <c r="G22" i="3" s="1"/>
  <c r="L81" i="1"/>
  <c r="L34" i="3" s="1"/>
  <c r="Q66" i="1"/>
  <c r="Q19" i="3" s="1"/>
  <c r="Z24" i="1"/>
  <c r="Z24" i="2" s="1"/>
  <c r="Z74" i="1"/>
  <c r="Z27" i="3" s="1"/>
  <c r="J65" i="1"/>
  <c r="J18" i="3" s="1"/>
  <c r="K81" i="1"/>
  <c r="K34" i="3" s="1"/>
  <c r="I34" i="1"/>
  <c r="I34" i="2" s="1"/>
  <c r="S88" i="1"/>
  <c r="S41" i="3" s="1"/>
  <c r="V38" i="1"/>
  <c r="W71" i="1"/>
  <c r="W24" i="3" s="1"/>
  <c r="Z19" i="1"/>
  <c r="Z19" i="2" s="1"/>
  <c r="P43" i="1"/>
  <c r="P43" i="2" s="1"/>
  <c r="P45" i="2" s="1"/>
  <c r="U14" i="1"/>
  <c r="U14" i="2" s="1"/>
  <c r="T92" i="1"/>
  <c r="T45" i="3" s="1"/>
  <c r="Q76" i="1"/>
  <c r="Q29" i="3" s="1"/>
  <c r="F88" i="1"/>
  <c r="F81" i="1"/>
  <c r="F34" i="3" s="1"/>
  <c r="AE34" i="3" s="1"/>
  <c r="H70" i="1"/>
  <c r="H23" i="3" s="1"/>
  <c r="F56" i="1"/>
  <c r="S23" i="1"/>
  <c r="S23" i="2" s="1"/>
  <c r="S25" i="2" s="1"/>
  <c r="P28" i="1"/>
  <c r="P28" i="2" s="1"/>
  <c r="X33" i="1"/>
  <c r="X33" i="2" s="1"/>
  <c r="V76" i="1"/>
  <c r="V29" i="3" s="1"/>
  <c r="N92" i="1"/>
  <c r="N45" i="3" s="1"/>
  <c r="X39" i="1"/>
  <c r="X39" i="2" s="1"/>
  <c r="G71" i="1"/>
  <c r="G24" i="3" s="1"/>
  <c r="U27" i="1"/>
  <c r="U27" i="2" s="1"/>
  <c r="W39" i="1"/>
  <c r="W39" i="2" s="1"/>
  <c r="W27" i="1"/>
  <c r="W27" i="2" s="1"/>
  <c r="T24" i="1"/>
  <c r="T24" i="2" s="1"/>
  <c r="R81" i="1"/>
  <c r="R34" i="3" s="1"/>
  <c r="J23" i="1"/>
  <c r="J23" i="2" s="1"/>
  <c r="X81" i="1"/>
  <c r="X34" i="3" s="1"/>
  <c r="K55" i="1"/>
  <c r="K8" i="3" s="1"/>
  <c r="F39" i="1"/>
  <c r="H24" i="1"/>
  <c r="H24" i="2" s="1"/>
  <c r="N9" i="1"/>
  <c r="N9" i="2" s="1"/>
  <c r="M28" i="1"/>
  <c r="M28" i="2" s="1"/>
  <c r="M19" i="1"/>
  <c r="M19" i="2" s="1"/>
  <c r="Z33" i="1"/>
  <c r="Z33" i="2" s="1"/>
  <c r="L60" i="1"/>
  <c r="L13" i="3" s="1"/>
  <c r="F29" i="1"/>
  <c r="X14" i="1"/>
  <c r="X14" i="2" s="1"/>
  <c r="K39" i="1"/>
  <c r="K39" i="2" s="1"/>
  <c r="AA74" i="1"/>
  <c r="AA27" i="3" s="1"/>
  <c r="Z79" i="1"/>
  <c r="Z32" i="3" s="1"/>
  <c r="M23" i="1"/>
  <c r="M23" i="2" s="1"/>
  <c r="U43" i="1"/>
  <c r="U43" i="2" s="1"/>
  <c r="Q80" i="1"/>
  <c r="Q33" i="3" s="1"/>
  <c r="T93" i="1"/>
  <c r="T46" i="3" s="1"/>
  <c r="Y66" i="1"/>
  <c r="Y19" i="3" s="1"/>
  <c r="U69" i="1"/>
  <c r="U22" i="3" s="1"/>
  <c r="F60" i="1"/>
  <c r="F87" i="1"/>
  <c r="F40" i="3" s="1"/>
  <c r="AE40" i="3" s="1"/>
  <c r="K93" i="1"/>
  <c r="K46" i="3" s="1"/>
  <c r="Y80" i="1"/>
  <c r="Y33" i="3" s="1"/>
  <c r="Y79" i="1"/>
  <c r="Y32" i="3" s="1"/>
  <c r="AA79" i="1"/>
  <c r="AA32" i="3" s="1"/>
  <c r="U24" i="1"/>
  <c r="U24" i="2" s="1"/>
  <c r="T44" i="1"/>
  <c r="T44" i="2" s="1"/>
  <c r="K71" i="1"/>
  <c r="K24" i="3" s="1"/>
  <c r="U9" i="1"/>
  <c r="U9" i="2" s="1"/>
  <c r="H60" i="1"/>
  <c r="H13" i="3" s="1"/>
  <c r="O28" i="1"/>
  <c r="O28" i="2" s="1"/>
  <c r="G81" i="1"/>
  <c r="G34" i="3" s="1"/>
  <c r="I81" i="1"/>
  <c r="I34" i="3" s="1"/>
  <c r="S61" i="1"/>
  <c r="S14" i="3" s="1"/>
  <c r="G75" i="1"/>
  <c r="G28" i="3" s="1"/>
  <c r="J64" i="1"/>
  <c r="J17" i="3" s="1"/>
  <c r="O74" i="1"/>
  <c r="O27" i="3" s="1"/>
  <c r="N39" i="1"/>
  <c r="N39" i="2" s="1"/>
  <c r="O9" i="1"/>
  <c r="O9" i="2" s="1"/>
  <c r="U23" i="1"/>
  <c r="U23" i="2" s="1"/>
  <c r="AA14" i="1"/>
  <c r="AA14" i="2" s="1"/>
  <c r="AA66" i="1"/>
  <c r="AA19" i="3" s="1"/>
  <c r="H28" i="1"/>
  <c r="H28" i="2" s="1"/>
  <c r="AA44" i="1"/>
  <c r="AA44" i="2" s="1"/>
  <c r="R39" i="1"/>
  <c r="R39" i="2" s="1"/>
  <c r="F24" i="1"/>
  <c r="F24" i="2" s="1"/>
  <c r="M24" i="1"/>
  <c r="M24" i="2" s="1"/>
  <c r="I28" i="1"/>
  <c r="I28" i="2" s="1"/>
  <c r="O19" i="1"/>
  <c r="O19" i="2" s="1"/>
  <c r="N44" i="1"/>
  <c r="N44" i="2" s="1"/>
  <c r="Y39" i="1"/>
  <c r="Y39" i="2" s="1"/>
  <c r="L24" i="1"/>
  <c r="L24" i="2" s="1"/>
  <c r="H65" i="1"/>
  <c r="H18" i="3" s="1"/>
  <c r="N28" i="1"/>
  <c r="N28" i="2" s="1"/>
  <c r="U29" i="1"/>
  <c r="U29" i="2" s="1"/>
  <c r="U33" i="1"/>
  <c r="U33" i="2" s="1"/>
  <c r="O92" i="1"/>
  <c r="O45" i="3" s="1"/>
  <c r="Y69" i="1"/>
  <c r="Y22" i="3" s="1"/>
  <c r="K88" i="1"/>
  <c r="K41" i="3" s="1"/>
  <c r="I32" i="1"/>
  <c r="I32" i="2" s="1"/>
  <c r="F43" i="1"/>
  <c r="F43" i="2" s="1"/>
  <c r="AE43" i="2" s="1"/>
  <c r="Y87" i="1"/>
  <c r="Y40" i="3" s="1"/>
  <c r="G27" i="1"/>
  <c r="G27" i="2" s="1"/>
  <c r="N87" i="1"/>
  <c r="N40" i="3" s="1"/>
  <c r="X55" i="1"/>
  <c r="S32" i="1"/>
  <c r="G66" i="1"/>
  <c r="G19" i="3" s="1"/>
  <c r="F80" i="1"/>
  <c r="AE80" i="1" s="1"/>
  <c r="X29" i="1"/>
  <c r="X29" i="2" s="1"/>
  <c r="J55" i="1"/>
  <c r="J8" i="3" s="1"/>
  <c r="G86" i="1"/>
  <c r="G39" i="3" s="1"/>
  <c r="U28" i="1"/>
  <c r="U28" i="2" s="1"/>
  <c r="M43" i="1"/>
  <c r="M43" i="2" s="1"/>
  <c r="L80" i="1"/>
  <c r="L33" i="3" s="1"/>
  <c r="P65" i="1"/>
  <c r="P18" i="3" s="1"/>
  <c r="H34" i="1"/>
  <c r="H34" i="2" s="1"/>
  <c r="S71" i="1"/>
  <c r="S24" i="3" s="1"/>
  <c r="I43" i="1"/>
  <c r="I43" i="2" s="1"/>
  <c r="Y8" i="1"/>
  <c r="Y8" i="2" s="1"/>
  <c r="T43" i="1"/>
  <c r="T43" i="2" s="1"/>
  <c r="N75" i="1"/>
  <c r="N28" i="3" s="1"/>
  <c r="V32" i="1"/>
  <c r="Z66" i="1"/>
  <c r="Z19" i="3" s="1"/>
  <c r="V66" i="1"/>
  <c r="V19" i="3" s="1"/>
  <c r="Q9" i="1"/>
  <c r="Q9" i="2" s="1"/>
  <c r="I27" i="1"/>
  <c r="I27" i="2" s="1"/>
  <c r="V56" i="1"/>
  <c r="V9" i="3" s="1"/>
  <c r="I71" i="1"/>
  <c r="I24" i="3" s="1"/>
  <c r="L79" i="1"/>
  <c r="L32" i="3" s="1"/>
  <c r="G24" i="1"/>
  <c r="G24" i="2" s="1"/>
  <c r="K86" i="1"/>
  <c r="K39" i="3" s="1"/>
  <c r="J39" i="1"/>
  <c r="J39" i="2" s="1"/>
  <c r="O56" i="1"/>
  <c r="O9" i="3" s="1"/>
  <c r="U32" i="1"/>
  <c r="U32" i="2" s="1"/>
  <c r="H80" i="1"/>
  <c r="H33" i="3" s="1"/>
  <c r="Q87" i="1"/>
  <c r="Q40" i="3" s="1"/>
  <c r="V86" i="1"/>
  <c r="V39" i="3" s="1"/>
  <c r="P29" i="1"/>
  <c r="P29" i="2" s="1"/>
  <c r="W80" i="1"/>
  <c r="W33" i="3" s="1"/>
  <c r="X9" i="1"/>
  <c r="X9" i="2" s="1"/>
  <c r="T39" i="1"/>
  <c r="T39" i="2" s="1"/>
  <c r="W65" i="1"/>
  <c r="W18" i="3" s="1"/>
  <c r="H86" i="1"/>
  <c r="H39" i="3" s="1"/>
  <c r="V92" i="1"/>
  <c r="V45" i="3" s="1"/>
  <c r="N86" i="1"/>
  <c r="N39" i="3" s="1"/>
  <c r="U92" i="1"/>
  <c r="U45" i="3" s="1"/>
  <c r="V87" i="1"/>
  <c r="V40" i="3" s="1"/>
  <c r="U34" i="1"/>
  <c r="U34" i="2" s="1"/>
  <c r="R23" i="1"/>
  <c r="R23" i="2" s="1"/>
  <c r="H66" i="1"/>
  <c r="H19" i="3" s="1"/>
  <c r="V19" i="1"/>
  <c r="V19" i="2" s="1"/>
  <c r="G93" i="1"/>
  <c r="G46" i="3" s="1"/>
  <c r="F19" i="1"/>
  <c r="F19" i="2" s="1"/>
  <c r="L23" i="1"/>
  <c r="L23" i="2" s="1"/>
  <c r="W88" i="1"/>
  <c r="W41" i="3" s="1"/>
  <c r="N8" i="1"/>
  <c r="N8" i="2" s="1"/>
  <c r="F86" i="1"/>
  <c r="F39" i="3" s="1"/>
  <c r="AE39" i="3" s="1"/>
  <c r="R60" i="1"/>
  <c r="Q43" i="1"/>
  <c r="U44" i="1"/>
  <c r="U44" i="2" s="1"/>
  <c r="S65" i="1"/>
  <c r="S18" i="3" s="1"/>
  <c r="P87" i="1"/>
  <c r="P40" i="3" s="1"/>
  <c r="G88" i="1"/>
  <c r="G41" i="3" s="1"/>
  <c r="AA29" i="1"/>
  <c r="AA29" i="2" s="1"/>
  <c r="J8" i="1"/>
  <c r="J8" i="2" s="1"/>
  <c r="M75" i="1"/>
  <c r="M28" i="3" s="1"/>
  <c r="Y61" i="1"/>
  <c r="Y14" i="3" s="1"/>
  <c r="M38" i="1"/>
  <c r="M38" i="2" s="1"/>
  <c r="Z56" i="1"/>
  <c r="Z9" i="3" s="1"/>
  <c r="K33" i="1"/>
  <c r="K33" i="2" s="1"/>
  <c r="J70" i="1"/>
  <c r="J23" i="3" s="1"/>
  <c r="R87" i="1"/>
  <c r="R40" i="3" s="1"/>
  <c r="J66" i="1"/>
  <c r="J19" i="3" s="1"/>
  <c r="I61" i="1"/>
  <c r="I14" i="3" s="1"/>
  <c r="M55" i="1"/>
  <c r="M8" i="3" s="1"/>
  <c r="W8" i="1"/>
  <c r="W8" i="2" s="1"/>
  <c r="W10" i="2" s="1"/>
  <c r="U87" i="1"/>
  <c r="U40" i="3" s="1"/>
  <c r="F84" i="1"/>
  <c r="K84" i="1"/>
  <c r="K37" i="3" s="1"/>
  <c r="J84" i="1"/>
  <c r="J37" i="3" s="1"/>
  <c r="U84" i="1"/>
  <c r="U37" i="3" s="1"/>
  <c r="H84" i="1"/>
  <c r="Y84" i="1"/>
  <c r="Y37" i="3" s="1"/>
  <c r="W84" i="1"/>
  <c r="W37" i="3" s="1"/>
  <c r="P84" i="1"/>
  <c r="P37" i="3" s="1"/>
  <c r="I84" i="1"/>
  <c r="I37" i="3" s="1"/>
  <c r="Q84" i="1"/>
  <c r="Q37" i="3" s="1"/>
  <c r="S84" i="1"/>
  <c r="S37" i="3" s="1"/>
  <c r="L84" i="1"/>
  <c r="L37" i="3" s="1"/>
  <c r="R84" i="1"/>
  <c r="R37" i="3" s="1"/>
  <c r="V84" i="1"/>
  <c r="V37" i="3" s="1"/>
  <c r="O84" i="1"/>
  <c r="O37" i="3" s="1"/>
  <c r="S38" i="3"/>
  <c r="O32" i="3"/>
  <c r="Q27" i="3"/>
  <c r="P8" i="3"/>
  <c r="P10" i="3" s="1"/>
  <c r="P57" i="1"/>
  <c r="R32" i="2"/>
  <c r="R35" i="2" s="1"/>
  <c r="R35" i="1"/>
  <c r="F77" i="1"/>
  <c r="AE77" i="1" s="1"/>
  <c r="N73" i="1"/>
  <c r="F27" i="3"/>
  <c r="AE74" i="1"/>
  <c r="W13" i="3"/>
  <c r="S44" i="3"/>
  <c r="S47" i="3" s="1"/>
  <c r="S94" i="1"/>
  <c r="F45" i="3"/>
  <c r="AE92" i="1"/>
  <c r="R38" i="3"/>
  <c r="T38" i="3"/>
  <c r="Q13" i="3"/>
  <c r="T82" i="1"/>
  <c r="R32" i="3"/>
  <c r="S32" i="3"/>
  <c r="S82" i="1"/>
  <c r="W17" i="3"/>
  <c r="W67" i="1"/>
  <c r="P38" i="2"/>
  <c r="P40" i="2" s="1"/>
  <c r="P40" i="1"/>
  <c r="V8" i="3"/>
  <c r="V10" i="3" s="1"/>
  <c r="T32" i="2"/>
  <c r="T35" i="1"/>
  <c r="P22" i="3"/>
  <c r="P72" i="1"/>
  <c r="N22" i="3"/>
  <c r="F44" i="2"/>
  <c r="AE44" i="2" s="1"/>
  <c r="AE44" i="1"/>
  <c r="P32" i="2"/>
  <c r="X32" i="3"/>
  <c r="W44" i="3"/>
  <c r="W47" i="3" s="1"/>
  <c r="F38" i="3"/>
  <c r="AE38" i="3" s="1"/>
  <c r="AE85" i="1"/>
  <c r="F9" i="3"/>
  <c r="AE9" i="3" s="1"/>
  <c r="AE56" i="1"/>
  <c r="Q57" i="1"/>
  <c r="Q8" i="3"/>
  <c r="Q10" i="3" s="1"/>
  <c r="X22" i="3"/>
  <c r="X25" i="3" s="1"/>
  <c r="X72" i="1"/>
  <c r="H32" i="2"/>
  <c r="H31" i="2" s="1"/>
  <c r="AE31" i="2" s="1"/>
  <c r="H31" i="1"/>
  <c r="AE31" i="1" s="1"/>
  <c r="R27" i="3"/>
  <c r="R30" i="3" s="1"/>
  <c r="F34" i="2"/>
  <c r="V27" i="2"/>
  <c r="S17" i="3"/>
  <c r="S22" i="3"/>
  <c r="P23" i="2"/>
  <c r="P25" i="2" s="1"/>
  <c r="P25" i="1"/>
  <c r="X38" i="3"/>
  <c r="X42" i="3" s="1"/>
  <c r="X89" i="1"/>
  <c r="H27" i="2"/>
  <c r="H26" i="2" s="1"/>
  <c r="AE26" i="2" s="1"/>
  <c r="H26" i="1"/>
  <c r="AE26" i="1" s="1"/>
  <c r="F67" i="1"/>
  <c r="AE67" i="1" s="1"/>
  <c r="AE64" i="1"/>
  <c r="F17" i="3"/>
  <c r="N63" i="1"/>
  <c r="T17" i="3"/>
  <c r="T67" i="1"/>
  <c r="H78" i="1"/>
  <c r="AE78" i="1" s="1"/>
  <c r="H32" i="3"/>
  <c r="H31" i="3" s="1"/>
  <c r="AE31" i="3" s="1"/>
  <c r="P44" i="3"/>
  <c r="R44" i="3"/>
  <c r="R47" i="3" s="1"/>
  <c r="R94" i="1"/>
  <c r="W77" i="1"/>
  <c r="X27" i="2"/>
  <c r="F46" i="3"/>
  <c r="AE93" i="1"/>
  <c r="O22" i="3"/>
  <c r="F23" i="2"/>
  <c r="AE23" i="2" s="1"/>
  <c r="AE23" i="1"/>
  <c r="P13" i="3"/>
  <c r="R22" i="3"/>
  <c r="R72" i="1"/>
  <c r="W43" i="2"/>
  <c r="O23" i="2"/>
  <c r="O25" i="2" s="1"/>
  <c r="O25" i="1"/>
  <c r="N17" i="3"/>
  <c r="N67" i="1"/>
  <c r="S38" i="2"/>
  <c r="S40" i="1"/>
  <c r="R38" i="2"/>
  <c r="N13" i="3"/>
  <c r="N15" i="3" s="1"/>
  <c r="N62" i="1"/>
  <c r="P32" i="3"/>
  <c r="F18" i="3"/>
  <c r="Q38" i="3"/>
  <c r="N32" i="3"/>
  <c r="R27" i="2"/>
  <c r="R30" i="1"/>
  <c r="V38" i="3"/>
  <c r="R43" i="2"/>
  <c r="R45" i="2" s="1"/>
  <c r="R45" i="1"/>
  <c r="S8" i="3"/>
  <c r="S10" i="3" s="1"/>
  <c r="S57" i="1"/>
  <c r="F8" i="2"/>
  <c r="AE8" i="2" s="1"/>
  <c r="AE8" i="1"/>
  <c r="P17" i="3"/>
  <c r="R17" i="3"/>
  <c r="R67" i="1"/>
  <c r="O38" i="3"/>
  <c r="X27" i="3"/>
  <c r="W8" i="3"/>
  <c r="W10" i="3" s="1"/>
  <c r="W57" i="1"/>
  <c r="Q22" i="3"/>
  <c r="Q72" i="1"/>
  <c r="X38" i="2"/>
  <c r="Q32" i="2"/>
  <c r="N44" i="3"/>
  <c r="N27" i="3"/>
  <c r="F23" i="3"/>
  <c r="AE23" i="3" s="1"/>
  <c r="AE70" i="1"/>
  <c r="Q44" i="3"/>
  <c r="Q94" i="1"/>
  <c r="N90" i="1"/>
  <c r="F94" i="1"/>
  <c r="AE94" i="1" s="1"/>
  <c r="AE91" i="1"/>
  <c r="F44" i="3"/>
  <c r="T23" i="2"/>
  <c r="F28" i="2"/>
  <c r="N78" i="1"/>
  <c r="AE79" i="1"/>
  <c r="F82" i="1"/>
  <c r="AE82" i="1" s="1"/>
  <c r="F32" i="3"/>
  <c r="T27" i="3"/>
  <c r="T30" i="3" s="1"/>
  <c r="T77" i="1"/>
  <c r="V27" i="3"/>
  <c r="N8" i="3"/>
  <c r="N10" i="3" s="1"/>
  <c r="N57" i="1"/>
  <c r="H90" i="1"/>
  <c r="AE90" i="1" s="1"/>
  <c r="H44" i="3"/>
  <c r="H43" i="3" s="1"/>
  <c r="AE43" i="3" s="1"/>
  <c r="V22" i="3"/>
  <c r="V25" i="3" s="1"/>
  <c r="V72" i="1"/>
  <c r="O44" i="3"/>
  <c r="O94" i="1"/>
  <c r="F9" i="2"/>
  <c r="Q17" i="3"/>
  <c r="Q20" i="3" s="1"/>
  <c r="Q67" i="1"/>
  <c r="F14" i="3"/>
  <c r="AE14" i="3" s="1"/>
  <c r="AE61" i="1"/>
  <c r="S27" i="2"/>
  <c r="X13" i="3"/>
  <c r="X15" i="3" s="1"/>
  <c r="X62" i="1"/>
  <c r="X44" i="3"/>
  <c r="X47" i="3" s="1"/>
  <c r="X94" i="1"/>
  <c r="H17" i="3"/>
  <c r="H16" i="3" s="1"/>
  <c r="AE16" i="3" s="1"/>
  <c r="H63" i="1"/>
  <c r="AE63" i="1" s="1"/>
  <c r="O30" i="1"/>
  <c r="S43" i="2"/>
  <c r="S45" i="2" s="1"/>
  <c r="S45" i="1"/>
  <c r="F14" i="2"/>
  <c r="W38" i="2"/>
  <c r="P38" i="3"/>
  <c r="V38" i="2"/>
  <c r="V40" i="2" s="1"/>
  <c r="V40" i="1"/>
  <c r="V44" i="3"/>
  <c r="AE88" i="1"/>
  <c r="F41" i="3"/>
  <c r="AE41" i="3" s="1"/>
  <c r="V32" i="2"/>
  <c r="V35" i="2" s="1"/>
  <c r="V35" i="1"/>
  <c r="F24" i="3"/>
  <c r="AE24" i="3" s="1"/>
  <c r="AE71" i="1"/>
  <c r="T44" i="3"/>
  <c r="X8" i="3"/>
  <c r="X10" i="3" s="1"/>
  <c r="X57" i="1"/>
  <c r="R13" i="3"/>
  <c r="R15" i="3" s="1"/>
  <c r="R62" i="1"/>
  <c r="S32" i="2"/>
  <c r="S35" i="1"/>
  <c r="Q43" i="2"/>
  <c r="Q45" i="2" s="1"/>
  <c r="F33" i="3"/>
  <c r="AE33" i="3" s="1"/>
  <c r="W38" i="3"/>
  <c r="F39" i="2"/>
  <c r="AE39" i="2" s="1"/>
  <c r="AE39" i="1"/>
  <c r="F29" i="2"/>
  <c r="F13" i="3"/>
  <c r="AE13" i="3" s="1"/>
  <c r="AE60" i="1"/>
  <c r="N38" i="3"/>
  <c r="N35" i="1"/>
  <c r="N38" i="2"/>
  <c r="N40" i="2" s="1"/>
  <c r="AE75" i="1"/>
  <c r="F28" i="3"/>
  <c r="AE28" i="3" s="1"/>
  <c r="V8" i="2"/>
  <c r="P27" i="2"/>
  <c r="P30" i="1"/>
  <c r="W32" i="2"/>
  <c r="W35" i="1"/>
  <c r="H22" i="3"/>
  <c r="H21" i="3" s="1"/>
  <c r="AE21" i="3" s="1"/>
  <c r="H68" i="1"/>
  <c r="AE68" i="1" s="1"/>
  <c r="P27" i="3"/>
  <c r="X43" i="2"/>
  <c r="X45" i="2" s="1"/>
  <c r="R8" i="3"/>
  <c r="R10" i="3" s="1"/>
  <c r="R57" i="1"/>
  <c r="Q38" i="2"/>
  <c r="Q40" i="2" s="1"/>
  <c r="Q40" i="1"/>
  <c r="N23" i="2"/>
  <c r="N25" i="2" s="1"/>
  <c r="N25" i="1"/>
  <c r="AA25" i="1" s="1"/>
  <c r="V30" i="2"/>
  <c r="N68" i="1"/>
  <c r="F72" i="1"/>
  <c r="AE72" i="1" s="1"/>
  <c r="AE69" i="1"/>
  <c r="F22" i="3"/>
  <c r="X32" i="2"/>
  <c r="Q8" i="2"/>
  <c r="T13" i="3"/>
  <c r="H27" i="3"/>
  <c r="H26" i="3" s="1"/>
  <c r="AE26" i="3" s="1"/>
  <c r="H73" i="1"/>
  <c r="AE73" i="1" s="1"/>
  <c r="F27" i="2"/>
  <c r="N26" i="1"/>
  <c r="P7" i="1"/>
  <c r="H7" i="1"/>
  <c r="G7" i="1"/>
  <c r="G7" i="2" s="1"/>
  <c r="I7" i="1"/>
  <c r="I7" i="2" s="1"/>
  <c r="M7" i="1"/>
  <c r="M7" i="2" s="1"/>
  <c r="T7" i="1"/>
  <c r="S7" i="1"/>
  <c r="R7" i="1"/>
  <c r="K7" i="1"/>
  <c r="K7" i="2" s="1"/>
  <c r="O7" i="1"/>
  <c r="AA7" i="1"/>
  <c r="AA7" i="2" s="1"/>
  <c r="N12" i="1"/>
  <c r="X7" i="1"/>
  <c r="U7" i="1"/>
  <c r="U7" i="2" s="1"/>
  <c r="Z7" i="1"/>
  <c r="Z7" i="2" s="1"/>
  <c r="J7" i="1"/>
  <c r="J7" i="2" s="1"/>
  <c r="N7" i="1"/>
  <c r="S17" i="1"/>
  <c r="F13" i="1"/>
  <c r="L12" i="1"/>
  <c r="L12" i="2" s="1"/>
  <c r="AA12" i="1"/>
  <c r="AA12" i="2" s="1"/>
  <c r="R12" i="1"/>
  <c r="U12" i="1"/>
  <c r="U12" i="2" s="1"/>
  <c r="W12" i="1"/>
  <c r="P12" i="1"/>
  <c r="V12" i="1"/>
  <c r="Z12" i="1"/>
  <c r="Z12" i="2" s="1"/>
  <c r="O12" i="1"/>
  <c r="F12" i="1"/>
  <c r="M12" i="1"/>
  <c r="M12" i="2" s="1"/>
  <c r="I12" i="1"/>
  <c r="I12" i="2" s="1"/>
  <c r="S12" i="1"/>
  <c r="K12" i="1"/>
  <c r="K12" i="2" s="1"/>
  <c r="M13" i="1"/>
  <c r="M13" i="2" s="1"/>
  <c r="H13" i="1"/>
  <c r="H13" i="2" s="1"/>
  <c r="K13" i="1"/>
  <c r="K13" i="2" s="1"/>
  <c r="O13" i="1"/>
  <c r="O13" i="2" s="1"/>
  <c r="Q12" i="1"/>
  <c r="Y12" i="1"/>
  <c r="Y12" i="2" s="1"/>
  <c r="Q13" i="1"/>
  <c r="Q13" i="2" s="1"/>
  <c r="T12" i="1"/>
  <c r="J12" i="1"/>
  <c r="J12" i="2" s="1"/>
  <c r="AA13" i="1"/>
  <c r="AA13" i="2" s="1"/>
  <c r="H12" i="1"/>
  <c r="G12" i="1"/>
  <c r="G12" i="2" s="1"/>
  <c r="V13" i="1"/>
  <c r="V13" i="2" s="1"/>
  <c r="Y13" i="1"/>
  <c r="Y13" i="2" s="1"/>
  <c r="I13" i="1"/>
  <c r="I13" i="2" s="1"/>
  <c r="N13" i="1"/>
  <c r="N13" i="2" s="1"/>
  <c r="G13" i="1"/>
  <c r="G13" i="2" s="1"/>
  <c r="R13" i="1"/>
  <c r="R13" i="2" s="1"/>
  <c r="L13" i="1"/>
  <c r="L13" i="2" s="1"/>
  <c r="S13" i="1"/>
  <c r="S13" i="2" s="1"/>
  <c r="J13" i="1"/>
  <c r="J13" i="2" s="1"/>
  <c r="Q17" i="1"/>
  <c r="U13" i="1"/>
  <c r="U13" i="2" s="1"/>
  <c r="K17" i="1"/>
  <c r="K17" i="2" s="1"/>
  <c r="W17" i="1"/>
  <c r="J17" i="1"/>
  <c r="J17" i="2" s="1"/>
  <c r="G17" i="1"/>
  <c r="G17" i="2" s="1"/>
  <c r="L17" i="1"/>
  <c r="L17" i="2" s="1"/>
  <c r="P13" i="1"/>
  <c r="P13" i="2" s="1"/>
  <c r="Z13" i="1"/>
  <c r="Z13" i="2" s="1"/>
  <c r="Y17" i="1"/>
  <c r="Y17" i="2" s="1"/>
  <c r="X13" i="1"/>
  <c r="I18" i="1"/>
  <c r="I18" i="2" s="1"/>
  <c r="L18" i="1"/>
  <c r="L18" i="2" s="1"/>
  <c r="R18" i="1"/>
  <c r="V18" i="1"/>
  <c r="P18" i="1"/>
  <c r="G18" i="1"/>
  <c r="G18" i="2" s="1"/>
  <c r="X18" i="1"/>
  <c r="M18" i="1"/>
  <c r="M18" i="2" s="1"/>
  <c r="K18" i="1"/>
  <c r="K18" i="2" s="1"/>
  <c r="U18" i="1"/>
  <c r="U18" i="2" s="1"/>
  <c r="J18" i="1"/>
  <c r="J18" i="2" s="1"/>
  <c r="W18" i="1"/>
  <c r="W18" i="2" s="1"/>
  <c r="Y18" i="1"/>
  <c r="Y18" i="2" s="1"/>
  <c r="N18" i="1"/>
  <c r="Z18" i="1"/>
  <c r="Z18" i="2" s="1"/>
  <c r="T18" i="1"/>
  <c r="T13" i="1"/>
  <c r="T13" i="2" s="1"/>
  <c r="F18" i="1"/>
  <c r="AA18" i="1"/>
  <c r="AA18" i="2" s="1"/>
  <c r="H18" i="1"/>
  <c r="H18" i="2" s="1"/>
  <c r="Q18" i="1"/>
  <c r="Q18" i="2" s="1"/>
  <c r="W13" i="1"/>
  <c r="W13" i="2" s="1"/>
  <c r="O18" i="1"/>
  <c r="T35" i="3" l="1"/>
  <c r="AE46" i="3"/>
  <c r="Q47" i="3"/>
  <c r="R25" i="3"/>
  <c r="P25" i="3"/>
  <c r="S35" i="3"/>
  <c r="W35" i="2"/>
  <c r="V25" i="2"/>
  <c r="Q25" i="2"/>
  <c r="O30" i="2"/>
  <c r="R30" i="2"/>
  <c r="S40" i="2"/>
  <c r="T35" i="2"/>
  <c r="R25" i="2"/>
  <c r="Q30" i="2"/>
  <c r="N99" i="1"/>
  <c r="W42" i="3"/>
  <c r="S35" i="2"/>
  <c r="N20" i="3"/>
  <c r="T20" i="3"/>
  <c r="O62" i="1"/>
  <c r="AE76" i="1"/>
  <c r="O99" i="1"/>
  <c r="N89" i="1"/>
  <c r="W40" i="1"/>
  <c r="T57" i="1"/>
  <c r="W94" i="1"/>
  <c r="Q99" i="1"/>
  <c r="V99" i="1"/>
  <c r="AE27" i="1"/>
  <c r="V25" i="1"/>
  <c r="W10" i="1"/>
  <c r="AE14" i="1"/>
  <c r="N47" i="3"/>
  <c r="F8" i="3"/>
  <c r="AE8" i="3" s="1"/>
  <c r="P94" i="1"/>
  <c r="O67" i="1"/>
  <c r="Q62" i="1"/>
  <c r="AE45" i="3"/>
  <c r="T99" i="1"/>
  <c r="V94" i="1"/>
  <c r="N82" i="1"/>
  <c r="P47" i="3"/>
  <c r="F19" i="3"/>
  <c r="AE19" i="3" s="1"/>
  <c r="P99" i="1"/>
  <c r="Q45" i="1"/>
  <c r="V47" i="3"/>
  <c r="X40" i="1"/>
  <c r="AE81" i="1"/>
  <c r="X35" i="3"/>
  <c r="T89" i="1"/>
  <c r="T25" i="3"/>
  <c r="X99" i="1"/>
  <c r="W99" i="1"/>
  <c r="X40" i="2"/>
  <c r="O42" i="3"/>
  <c r="Q89" i="1"/>
  <c r="P62" i="1"/>
  <c r="V30" i="1"/>
  <c r="X82" i="1"/>
  <c r="T42" i="3"/>
  <c r="W15" i="3"/>
  <c r="S99" i="1"/>
  <c r="S15" i="3"/>
  <c r="V35" i="3"/>
  <c r="W20" i="3"/>
  <c r="T10" i="3"/>
  <c r="V20" i="3"/>
  <c r="X20" i="3"/>
  <c r="W82" i="1"/>
  <c r="V57" i="1"/>
  <c r="P77" i="1"/>
  <c r="S25" i="1"/>
  <c r="P45" i="1"/>
  <c r="AE14" i="2"/>
  <c r="W35" i="3"/>
  <c r="V82" i="1"/>
  <c r="T45" i="1"/>
  <c r="R20" i="3"/>
  <c r="Q42" i="3"/>
  <c r="P15" i="3"/>
  <c r="Q15" i="3"/>
  <c r="T45" i="2"/>
  <c r="AE28" i="1"/>
  <c r="P67" i="1"/>
  <c r="X25" i="1"/>
  <c r="P30" i="3"/>
  <c r="AE28" i="2"/>
  <c r="P20" i="3"/>
  <c r="S20" i="3"/>
  <c r="S62" i="1"/>
  <c r="AE9" i="2"/>
  <c r="X67" i="1"/>
  <c r="O72" i="1"/>
  <c r="V67" i="1"/>
  <c r="N72" i="1"/>
  <c r="AE9" i="1"/>
  <c r="O89" i="1"/>
  <c r="O25" i="3"/>
  <c r="W62" i="1"/>
  <c r="O30" i="3"/>
  <c r="Q35" i="3"/>
  <c r="W89" i="1"/>
  <c r="W40" i="2"/>
  <c r="O47" i="3"/>
  <c r="N94" i="1"/>
  <c r="AA94" i="1" s="1"/>
  <c r="Q25" i="3"/>
  <c r="T30" i="1"/>
  <c r="N35" i="3"/>
  <c r="W30" i="2"/>
  <c r="AA62" i="1"/>
  <c r="N31" i="1"/>
  <c r="W45" i="2"/>
  <c r="Q30" i="3"/>
  <c r="AE18" i="3"/>
  <c r="R82" i="1"/>
  <c r="N30" i="2"/>
  <c r="AA30" i="2" s="1"/>
  <c r="T15" i="3"/>
  <c r="T94" i="1"/>
  <c r="Q82" i="1"/>
  <c r="T72" i="1"/>
  <c r="V62" i="1"/>
  <c r="R35" i="3"/>
  <c r="AE24" i="2"/>
  <c r="X30" i="2"/>
  <c r="V15" i="3"/>
  <c r="AE38" i="1"/>
  <c r="V45" i="2"/>
  <c r="O40" i="2"/>
  <c r="AA40" i="2" s="1"/>
  <c r="S42" i="3"/>
  <c r="AA25" i="2"/>
  <c r="O45" i="1"/>
  <c r="O35" i="2"/>
  <c r="AA35" i="2" s="1"/>
  <c r="N42" i="3"/>
  <c r="T47" i="3"/>
  <c r="V77" i="1"/>
  <c r="P82" i="1"/>
  <c r="S72" i="1"/>
  <c r="O82" i="1"/>
  <c r="T25" i="1"/>
  <c r="T30" i="2"/>
  <c r="N45" i="2"/>
  <c r="O77" i="1"/>
  <c r="AE86" i="1"/>
  <c r="V30" i="3"/>
  <c r="Q35" i="2"/>
  <c r="W72" i="1"/>
  <c r="P35" i="3"/>
  <c r="S30" i="3"/>
  <c r="S25" i="3"/>
  <c r="O57" i="1"/>
  <c r="AA57" i="1" s="1"/>
  <c r="R89" i="1"/>
  <c r="O35" i="3"/>
  <c r="T62" i="1"/>
  <c r="T25" i="2"/>
  <c r="W25" i="3"/>
  <c r="S77" i="1"/>
  <c r="S67" i="1"/>
  <c r="T40" i="2"/>
  <c r="O10" i="3"/>
  <c r="AA10" i="3" s="1"/>
  <c r="R42" i="3"/>
  <c r="S89" i="1"/>
  <c r="AA15" i="3"/>
  <c r="Q10" i="2"/>
  <c r="X77" i="1"/>
  <c r="AE87" i="1"/>
  <c r="N77" i="1"/>
  <c r="AA77" i="1" s="1"/>
  <c r="X30" i="3"/>
  <c r="V89" i="1"/>
  <c r="N30" i="3"/>
  <c r="AA30" i="3" s="1"/>
  <c r="V42" i="3"/>
  <c r="AE65" i="1"/>
  <c r="Q77" i="1"/>
  <c r="P30" i="2"/>
  <c r="F35" i="1"/>
  <c r="AE35" i="1" s="1"/>
  <c r="N45" i="1"/>
  <c r="O43" i="2"/>
  <c r="O45" i="2" s="1"/>
  <c r="V45" i="1"/>
  <c r="F38" i="2"/>
  <c r="AE38" i="2" s="1"/>
  <c r="X35" i="2"/>
  <c r="AE43" i="1"/>
  <c r="O40" i="1"/>
  <c r="AA40" i="1" s="1"/>
  <c r="AE34" i="1"/>
  <c r="AE24" i="1"/>
  <c r="F32" i="2"/>
  <c r="F35" i="2" s="1"/>
  <c r="AE35" i="2" s="1"/>
  <c r="V10" i="1"/>
  <c r="O35" i="1"/>
  <c r="AA35" i="1" s="1"/>
  <c r="X35" i="1"/>
  <c r="V10" i="2"/>
  <c r="R25" i="1"/>
  <c r="AE34" i="2"/>
  <c r="F33" i="2"/>
  <c r="AE33" i="2" s="1"/>
  <c r="AE19" i="1"/>
  <c r="Q30" i="1"/>
  <c r="P35" i="1"/>
  <c r="W25" i="1"/>
  <c r="AE29" i="1"/>
  <c r="W30" i="1"/>
  <c r="S30" i="1"/>
  <c r="R40" i="1"/>
  <c r="AE19" i="2"/>
  <c r="P35" i="2"/>
  <c r="Q10" i="1"/>
  <c r="AE29" i="2"/>
  <c r="S30" i="2"/>
  <c r="Q35" i="1"/>
  <c r="R40" i="2"/>
  <c r="W45" i="1"/>
  <c r="X30" i="1"/>
  <c r="Q25" i="1"/>
  <c r="T40" i="1"/>
  <c r="N30" i="1"/>
  <c r="AA30" i="1" s="1"/>
  <c r="AA47" i="3"/>
  <c r="H83" i="1"/>
  <c r="AE83" i="1" s="1"/>
  <c r="H37" i="3"/>
  <c r="H36" i="3" s="1"/>
  <c r="AE36" i="3" s="1"/>
  <c r="P89" i="1"/>
  <c r="P42" i="3"/>
  <c r="F37" i="3"/>
  <c r="F89" i="1"/>
  <c r="AE89" i="1" s="1"/>
  <c r="AE84" i="1"/>
  <c r="N83" i="1"/>
  <c r="P18" i="2"/>
  <c r="P20" i="2" s="1"/>
  <c r="P20" i="1"/>
  <c r="Q12" i="2"/>
  <c r="Q15" i="2" s="1"/>
  <c r="Q15" i="1"/>
  <c r="R12" i="2"/>
  <c r="R15" i="2" s="1"/>
  <c r="R15" i="1"/>
  <c r="T7" i="2"/>
  <c r="T10" i="2" s="1"/>
  <c r="T10" i="1"/>
  <c r="AA67" i="1"/>
  <c r="V18" i="2"/>
  <c r="V20" i="2" s="1"/>
  <c r="V20" i="1"/>
  <c r="AE12" i="1"/>
  <c r="F15" i="1"/>
  <c r="AE15" i="1" s="1"/>
  <c r="F12" i="2"/>
  <c r="N11" i="1"/>
  <c r="X7" i="2"/>
  <c r="X10" i="2" s="1"/>
  <c r="X10" i="1"/>
  <c r="F30" i="2"/>
  <c r="AE30" i="2" s="1"/>
  <c r="AE27" i="2"/>
  <c r="N26" i="2"/>
  <c r="AA25" i="3"/>
  <c r="AA20" i="3"/>
  <c r="S12" i="2"/>
  <c r="S15" i="2" s="1"/>
  <c r="S15" i="1"/>
  <c r="AE17" i="3"/>
  <c r="F20" i="3"/>
  <c r="AE20" i="3" s="1"/>
  <c r="N16" i="3"/>
  <c r="F30" i="3"/>
  <c r="AE30" i="3" s="1"/>
  <c r="N26" i="3"/>
  <c r="AE27" i="3"/>
  <c r="X18" i="2"/>
  <c r="X20" i="2" s="1"/>
  <c r="X20" i="1"/>
  <c r="W12" i="2"/>
  <c r="W15" i="2" s="1"/>
  <c r="W15" i="1"/>
  <c r="R7" i="2"/>
  <c r="R10" i="2" s="1"/>
  <c r="R10" i="1"/>
  <c r="S7" i="2"/>
  <c r="S10" i="2" s="1"/>
  <c r="S10" i="1"/>
  <c r="R18" i="2"/>
  <c r="R20" i="2" s="1"/>
  <c r="R20" i="1"/>
  <c r="H11" i="1"/>
  <c r="AE11" i="1" s="1"/>
  <c r="H12" i="2"/>
  <c r="H11" i="2" s="1"/>
  <c r="AE11" i="2" s="1"/>
  <c r="N12" i="2"/>
  <c r="N15" i="2" s="1"/>
  <c r="N15" i="1"/>
  <c r="AE18" i="1"/>
  <c r="F18" i="2"/>
  <c r="AE18" i="2" s="1"/>
  <c r="AE13" i="1"/>
  <c r="F13" i="2"/>
  <c r="AE13" i="2" s="1"/>
  <c r="N31" i="3"/>
  <c r="AE32" i="3"/>
  <c r="F35" i="3"/>
  <c r="AE35" i="3" s="1"/>
  <c r="O18" i="2"/>
  <c r="O20" i="2" s="1"/>
  <c r="O20" i="1"/>
  <c r="N18" i="2"/>
  <c r="N20" i="2" s="1"/>
  <c r="N20" i="1"/>
  <c r="Q17" i="2"/>
  <c r="Q20" i="2" s="1"/>
  <c r="Q20" i="1"/>
  <c r="W17" i="2"/>
  <c r="W20" i="2" s="1"/>
  <c r="W20" i="1"/>
  <c r="V12" i="2"/>
  <c r="V15" i="2" s="1"/>
  <c r="V15" i="1"/>
  <c r="S17" i="2"/>
  <c r="S20" i="2" s="1"/>
  <c r="S20" i="1"/>
  <c r="O7" i="2"/>
  <c r="O10" i="2" s="1"/>
  <c r="O10" i="1"/>
  <c r="H6" i="1"/>
  <c r="H7" i="2"/>
  <c r="AE7" i="1"/>
  <c r="F25" i="3"/>
  <c r="AE25" i="3" s="1"/>
  <c r="AE22" i="3"/>
  <c r="N21" i="3"/>
  <c r="N43" i="3"/>
  <c r="AE44" i="3"/>
  <c r="F47" i="3"/>
  <c r="AE47" i="3" s="1"/>
  <c r="Q53" i="3"/>
  <c r="O12" i="2"/>
  <c r="O15" i="2" s="1"/>
  <c r="O15" i="1"/>
  <c r="T18" i="2"/>
  <c r="T20" i="2" s="1"/>
  <c r="T20" i="1"/>
  <c r="X13" i="2"/>
  <c r="X15" i="2" s="1"/>
  <c r="X15" i="1"/>
  <c r="T12" i="2"/>
  <c r="T15" i="2" s="1"/>
  <c r="T15" i="1"/>
  <c r="P12" i="2"/>
  <c r="P15" i="2" s="1"/>
  <c r="P15" i="1"/>
  <c r="N7" i="2"/>
  <c r="N10" i="2" s="1"/>
  <c r="N10" i="1"/>
  <c r="P7" i="2"/>
  <c r="P10" i="2" s="1"/>
  <c r="P10" i="1"/>
  <c r="AA42" i="3" l="1"/>
  <c r="AA72" i="1"/>
  <c r="N51" i="1"/>
  <c r="AA89" i="1"/>
  <c r="AA99" i="1"/>
  <c r="AA82" i="1"/>
  <c r="N53" i="3"/>
  <c r="T53" i="3"/>
  <c r="V53" i="3"/>
  <c r="AA45" i="1"/>
  <c r="O53" i="3"/>
  <c r="N31" i="2"/>
  <c r="P53" i="3"/>
  <c r="AA35" i="3"/>
  <c r="AA45" i="2"/>
  <c r="R53" i="3"/>
  <c r="AE32" i="2"/>
  <c r="S53" i="3"/>
  <c r="X53" i="3"/>
  <c r="W53" i="3"/>
  <c r="AA10" i="2"/>
  <c r="AA20" i="1"/>
  <c r="AE37" i="3"/>
  <c r="N36" i="3"/>
  <c r="F42" i="3"/>
  <c r="AE42" i="3" s="1"/>
  <c r="AA10" i="1"/>
  <c r="N11" i="2"/>
  <c r="AE12" i="2"/>
  <c r="F15" i="2"/>
  <c r="AE15" i="2" s="1"/>
  <c r="AA20" i="2"/>
  <c r="AA15" i="1"/>
  <c r="H6" i="2"/>
  <c r="AE7" i="2"/>
  <c r="AA15" i="2"/>
  <c r="AE6" i="1"/>
  <c r="W100" i="1"/>
  <c r="V51" i="1"/>
  <c r="X51" i="1"/>
  <c r="R51" i="1"/>
  <c r="R100" i="1"/>
  <c r="O100" i="1"/>
  <c r="O51" i="1"/>
  <c r="V100" i="1"/>
  <c r="W51" i="1"/>
  <c r="S51" i="1"/>
  <c r="Q51" i="1"/>
  <c r="T100" i="1"/>
  <c r="P100" i="1"/>
  <c r="P51" i="1"/>
  <c r="S100" i="1"/>
  <c r="T51" i="1"/>
  <c r="N100" i="1"/>
  <c r="Q100" i="1"/>
  <c r="X100" i="1"/>
  <c r="O101" i="1" l="1"/>
  <c r="AA53" i="3"/>
  <c r="S101" i="1"/>
  <c r="R101" i="1"/>
  <c r="T101" i="1"/>
  <c r="X101" i="1"/>
  <c r="AA51" i="1"/>
  <c r="Q101" i="1"/>
  <c r="W101" i="1"/>
  <c r="V101" i="1"/>
  <c r="AE6" i="2"/>
  <c r="X51" i="2"/>
  <c r="W51" i="2"/>
  <c r="Q51" i="2"/>
  <c r="V51" i="2"/>
  <c r="P51" i="2"/>
  <c r="O51" i="2"/>
  <c r="T51" i="2"/>
  <c r="S51" i="2"/>
  <c r="R51" i="2"/>
  <c r="N51" i="2"/>
  <c r="N101" i="1"/>
  <c r="AA100" i="1"/>
  <c r="P101" i="1"/>
  <c r="AA101" i="1" l="1"/>
  <c r="AA51" i="2"/>
</calcChain>
</file>

<file path=xl/sharedStrings.xml><?xml version="1.0" encoding="utf-8"?>
<sst xmlns="http://schemas.openxmlformats.org/spreadsheetml/2006/main" count="420" uniqueCount="119">
  <si>
    <t>Daily Bottling Line Notes</t>
  </si>
  <si>
    <t>Line</t>
  </si>
  <si>
    <t>Item Number</t>
  </si>
  <si>
    <t>Description</t>
  </si>
  <si>
    <t>WO#</t>
  </si>
  <si>
    <t>Setup</t>
  </si>
  <si>
    <t>Start Time</t>
  </si>
  <si>
    <t>End Time</t>
  </si>
  <si>
    <t>Avail Mins</t>
  </si>
  <si>
    <t>Prod Mins</t>
  </si>
  <si>
    <t>% Eff</t>
  </si>
  <si>
    <t>Actual Manning</t>
  </si>
  <si>
    <t>Budgeted Manning</t>
  </si>
  <si>
    <t>Actual Cases</t>
  </si>
  <si>
    <t>Expected Prod</t>
  </si>
  <si>
    <t>Rework Jump Line</t>
  </si>
  <si>
    <t>Budgeted Setup ManHrs</t>
  </si>
  <si>
    <t>Actual Line Speed</t>
  </si>
  <si>
    <t>Budgeted Line Speed</t>
  </si>
  <si>
    <t>Line Summary #</t>
  </si>
  <si>
    <t>Shift Total #</t>
  </si>
  <si>
    <t xml:space="preserve">        FS01</t>
  </si>
  <si>
    <t>Line #</t>
  </si>
  <si>
    <t xml:space="preserve">        FS03</t>
  </si>
  <si>
    <t>FS Bottling Line 03</t>
  </si>
  <si>
    <t xml:space="preserve">        FS04</t>
  </si>
  <si>
    <t>FS Bottling Line 04</t>
  </si>
  <si>
    <t xml:space="preserve">        FS05</t>
  </si>
  <si>
    <t>FS Bottling Line 05</t>
  </si>
  <si>
    <t xml:space="preserve">        FS08</t>
  </si>
  <si>
    <t>FS Bottling Line 08</t>
  </si>
  <si>
    <t xml:space="preserve">        FS10</t>
  </si>
  <si>
    <t>FS Bottling Line 10</t>
  </si>
  <si>
    <t xml:space="preserve">        FS12</t>
  </si>
  <si>
    <t>FS Bottling Line 12</t>
  </si>
  <si>
    <t>Shift Code</t>
  </si>
  <si>
    <t>C</t>
  </si>
  <si>
    <t>FS Bottling Line 01</t>
  </si>
  <si>
    <t>Date</t>
  </si>
  <si>
    <t>Mtgs
/Brks
/Lunch</t>
  </si>
  <si>
    <t>Chg
/Wash</t>
  </si>
  <si>
    <t>Actual Setup
ManHrs</t>
  </si>
  <si>
    <t>Day Total #</t>
  </si>
  <si>
    <t>B</t>
  </si>
  <si>
    <t>Key</t>
  </si>
  <si>
    <t>FS Bottling Line 9</t>
  </si>
  <si>
    <t xml:space="preserve">        FS09</t>
  </si>
  <si>
    <t>Environmental:</t>
  </si>
  <si>
    <t>Staffing:</t>
  </si>
  <si>
    <t>Material quality issues:</t>
  </si>
  <si>
    <t>Other Comments</t>
  </si>
  <si>
    <t>House- Keeping</t>
  </si>
  <si>
    <t>Top Downtime 1</t>
  </si>
  <si>
    <t>Top Downtime 2</t>
  </si>
  <si>
    <t>Top Downtime 3</t>
  </si>
  <si>
    <t>Safety:</t>
  </si>
  <si>
    <t>Finished Goods quality holds:</t>
  </si>
  <si>
    <t>What went well on the shift?</t>
  </si>
  <si>
    <t>Line 1</t>
  </si>
  <si>
    <t>1st</t>
  </si>
  <si>
    <t>2nd</t>
  </si>
  <si>
    <t>3rd</t>
  </si>
  <si>
    <t>Line 3</t>
  </si>
  <si>
    <t>Line 4</t>
  </si>
  <si>
    <t>Line 5</t>
  </si>
  <si>
    <t>Line 8</t>
  </si>
  <si>
    <t>Line 9</t>
  </si>
  <si>
    <t>Line 10</t>
  </si>
  <si>
    <t>Line 12</t>
  </si>
  <si>
    <t>Top Downtime</t>
  </si>
  <si>
    <t>FS Bottling Line 09</t>
  </si>
  <si>
    <t>Shift Key</t>
  </si>
  <si>
    <t>Line Key</t>
  </si>
  <si>
    <t>Count</t>
  </si>
  <si>
    <t>R5531006</t>
  </si>
  <si>
    <t>Pernod Ricard</t>
  </si>
  <si>
    <t>PR0001</t>
  </si>
  <si>
    <t>Page -</t>
  </si>
  <si>
    <t>Environment :</t>
  </si>
  <si>
    <t>JNAPD920</t>
  </si>
  <si>
    <t>User ID :</t>
  </si>
  <si>
    <t>PR048208</t>
  </si>
  <si>
    <t>From Date :</t>
  </si>
  <si>
    <t>To Date :</t>
  </si>
  <si>
    <t>Email :</t>
  </si>
  <si>
    <t>Createform From /To Date :</t>
  </si>
  <si>
    <t>.</t>
  </si>
  <si>
    <t>Actual</t>
  </si>
  <si>
    <t>Budgeted</t>
  </si>
  <si>
    <t>Prod</t>
  </si>
  <si>
    <t>Expected</t>
  </si>
  <si>
    <t>Mtgs/Brks/</t>
  </si>
  <si>
    <t>Rework</t>
  </si>
  <si>
    <t>Actual Line</t>
  </si>
  <si>
    <t>Efficiency</t>
  </si>
  <si>
    <t>Quality</t>
  </si>
  <si>
    <t>Prod Date</t>
  </si>
  <si>
    <t>Manning</t>
  </si>
  <si>
    <t>Cases</t>
  </si>
  <si>
    <t>Lunch</t>
  </si>
  <si>
    <t>Chg/Wash</t>
  </si>
  <si>
    <t>HouseKeeping</t>
  </si>
  <si>
    <t>Jump Line</t>
  </si>
  <si>
    <t>ManHrs</t>
  </si>
  <si>
    <t>Speed</t>
  </si>
  <si>
    <t>Comments</t>
  </si>
  <si>
    <t>Hide</t>
  </si>
  <si>
    <t>12_6_2022</t>
  </si>
  <si>
    <t>SEAG GIN 80P 12/750 ND US</t>
  </si>
  <si>
    <t>SV EXS80 120/50PT CP</t>
  </si>
  <si>
    <t>SEAG GIN 80P 24/375 FSK ND US</t>
  </si>
  <si>
    <t>SEAG GIN 80P 48/100 FSK ND US</t>
  </si>
  <si>
    <t>KAH 40 12/1L 16 US</t>
  </si>
  <si>
    <t>KAH 32 6/1.75L PT 20 CA</t>
  </si>
  <si>
    <t xml:space="preserve">        FS14</t>
  </si>
  <si>
    <t>FS Can Line 14</t>
  </si>
  <si>
    <t>JAMESON GNGER LM 12 24/355NWUS</t>
  </si>
  <si>
    <t>SB PBW MF 12/750 MF CP</t>
  </si>
  <si>
    <t>FS Bottling Line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</si>
</sst>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#,##0_);_(\(#,##0\);_(&quot;-&quot;_);_(@_)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8" tint="0.39997558519241921"/>
      <name val="Calibri"/>
      <family val="2"/>
      <scheme val="minor"/>
    </font>
    <font>
      <sz val="11"/>
      <color theme="4" tint="0.3999755851924192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medium">
        <color theme="0" tint="-0.249977111117893"/>
      </bottom>
      <diagonal/>
    </border>
    <border>
      <left/>
      <right/>
      <top style="medium">
        <color theme="0" tint="-0.249977111117893"/>
      </top>
      <bottom style="medium">
        <color theme="0" tint="-0.249977111117893"/>
      </bottom>
      <diagonal/>
    </border>
    <border>
      <left/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/>
      <diagonal/>
    </border>
    <border>
      <left/>
      <right style="medium">
        <color theme="0" tint="-0.249977111117893"/>
      </right>
      <top style="medium">
        <color theme="0" tint="-0.249977111117893"/>
      </top>
      <bottom/>
      <diagonal/>
    </border>
    <border>
      <left style="medium">
        <color theme="0" tint="-0.249977111117893"/>
      </left>
      <right/>
      <top/>
      <bottom/>
      <diagonal/>
    </border>
    <border>
      <left/>
      <right style="medium">
        <color theme="0" tint="-0.249977111117893"/>
      </right>
      <top/>
      <bottom/>
      <diagonal/>
    </border>
    <border>
      <left style="medium">
        <color theme="0" tint="-0.249977111117893"/>
      </left>
      <right/>
      <top/>
      <bottom style="medium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/>
      <right style="medium">
        <color theme="0" tint="-0.249977111117893"/>
      </right>
      <top/>
      <bottom style="medium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thin">
        <color theme="0" tint="-0.249977111117893"/>
      </bottom>
      <diagonal/>
    </border>
    <border>
      <left/>
      <right/>
      <top style="medium">
        <color theme="0" tint="-0.249977111117893"/>
      </top>
      <bottom style="thin">
        <color theme="0" tint="-0.249977111117893"/>
      </bottom>
      <diagonal/>
    </border>
    <border>
      <left/>
      <right style="medium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/>
      <top style="thin">
        <color theme="0" tint="-0.249977111117893"/>
      </top>
      <bottom style="medium">
        <color theme="0" tint="-0.249977111117893"/>
      </bottom>
      <diagonal/>
    </border>
    <border>
      <left/>
      <right/>
      <top style="thin">
        <color theme="0" tint="-0.249977111117893"/>
      </top>
      <bottom style="medium">
        <color theme="0" tint="-0.249977111117893"/>
      </bottom>
      <diagonal/>
    </border>
    <border>
      <left/>
      <right style="medium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</borders>
  <cellStyleXfs count="2">
    <xf numFmtId="0" fontId="0" fillId="0" borderId="0"/>
    <xf numFmtId="43" fontId="7" fillId="0" borderId="0" applyFont="0" applyFill="0" applyBorder="0" applyAlignment="0" applyProtection="0"/>
  </cellStyleXfs>
  <cellXfs count="12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1" xfId="0" applyFill="1" applyBorder="1" applyAlignment="1">
      <alignment horizontal="left"/>
    </xf>
    <xf numFmtId="14" fontId="0" fillId="3" borderId="1" xfId="0" applyNumberFormat="1" applyFill="1" applyBorder="1" applyAlignment="1">
      <alignment horizontal="left"/>
    </xf>
    <xf numFmtId="20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5" borderId="2" xfId="0" applyFont="1" applyFill="1" applyBorder="1"/>
    <xf numFmtId="0" fontId="1" fillId="5" borderId="3" xfId="0" applyFont="1" applyFill="1" applyBorder="1"/>
    <xf numFmtId="0" fontId="1" fillId="5" borderId="4" xfId="0" applyFont="1" applyFill="1" applyBorder="1"/>
    <xf numFmtId="0" fontId="0" fillId="8" borderId="2" xfId="0" applyFill="1" applyBorder="1" applyAlignment="1">
      <alignment horizontal="left"/>
    </xf>
    <xf numFmtId="0" fontId="0" fillId="8" borderId="3" xfId="0" applyFill="1" applyBorder="1" applyAlignment="1">
      <alignment horizontal="left"/>
    </xf>
    <xf numFmtId="0" fontId="2" fillId="6" borderId="2" xfId="0" applyFont="1" applyFill="1" applyBorder="1" applyAlignment="1">
      <alignment horizontal="left"/>
    </xf>
    <xf numFmtId="0" fontId="2" fillId="6" borderId="3" xfId="0" applyFont="1" applyFill="1" applyBorder="1" applyAlignment="1">
      <alignment horizontal="left"/>
    </xf>
    <xf numFmtId="0" fontId="2" fillId="6" borderId="3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6" borderId="3" xfId="0" applyFont="1" applyFill="1" applyBorder="1" applyAlignment="1"/>
    <xf numFmtId="0" fontId="0" fillId="7" borderId="2" xfId="0" applyFill="1" applyBorder="1"/>
    <xf numFmtId="0" fontId="0" fillId="7" borderId="3" xfId="0" applyFill="1" applyBorder="1"/>
    <xf numFmtId="0" fontId="0" fillId="4" borderId="2" xfId="0" applyFill="1" applyBorder="1"/>
    <xf numFmtId="0" fontId="0" fillId="4" borderId="3" xfId="0" applyFill="1" applyBorder="1"/>
    <xf numFmtId="0" fontId="0" fillId="3" borderId="4" xfId="0" applyFill="1" applyBorder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" fillId="4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2" fontId="2" fillId="8" borderId="1" xfId="0" applyNumberFormat="1" applyFont="1" applyFill="1" applyBorder="1" applyAlignment="1">
      <alignment horizontal="center"/>
    </xf>
    <xf numFmtId="0" fontId="0" fillId="7" borderId="1" xfId="0" applyFill="1" applyBorder="1"/>
    <xf numFmtId="2" fontId="4" fillId="7" borderId="1" xfId="0" applyNumberFormat="1" applyFont="1" applyFill="1" applyBorder="1" applyAlignment="1">
      <alignment horizontal="center"/>
    </xf>
    <xf numFmtId="0" fontId="0" fillId="4" borderId="1" xfId="0" applyFill="1" applyBorder="1"/>
    <xf numFmtId="2" fontId="1" fillId="4" borderId="1" xfId="0" applyNumberFormat="1" applyFont="1" applyFill="1" applyBorder="1" applyAlignment="1">
      <alignment horizontal="center"/>
    </xf>
    <xf numFmtId="0" fontId="5" fillId="5" borderId="2" xfId="0" applyFont="1" applyFill="1" applyBorder="1"/>
    <xf numFmtId="0" fontId="1" fillId="5" borderId="3" xfId="0" applyFont="1" applyFill="1" applyBorder="1" applyAlignment="1">
      <alignment horizontal="center"/>
    </xf>
    <xf numFmtId="0" fontId="6" fillId="8" borderId="3" xfId="0" applyFont="1" applyFill="1" applyBorder="1" applyAlignment="1">
      <alignment horizontal="left"/>
    </xf>
    <xf numFmtId="0" fontId="0" fillId="8" borderId="4" xfId="0" applyFill="1" applyBorder="1" applyAlignment="1">
      <alignment horizontal="center"/>
    </xf>
    <xf numFmtId="0" fontId="0" fillId="7" borderId="4" xfId="0" applyFill="1" applyBorder="1"/>
    <xf numFmtId="2" fontId="2" fillId="8" borderId="4" xfId="0" applyNumberFormat="1" applyFont="1" applyFill="1" applyBorder="1" applyAlignment="1">
      <alignment horizontal="center"/>
    </xf>
    <xf numFmtId="2" fontId="4" fillId="7" borderId="4" xfId="0" applyNumberFormat="1" applyFont="1" applyFill="1" applyBorder="1" applyAlignment="1">
      <alignment horizontal="center"/>
    </xf>
    <xf numFmtId="2" fontId="1" fillId="4" borderId="4" xfId="0" applyNumberFormat="1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 wrapText="1"/>
    </xf>
    <xf numFmtId="0" fontId="0" fillId="8" borderId="3" xfId="0" applyFill="1" applyBorder="1" applyAlignment="1">
      <alignment horizontal="center"/>
    </xf>
    <xf numFmtId="164" fontId="2" fillId="8" borderId="1" xfId="1" applyNumberFormat="1" applyFont="1" applyFill="1" applyBorder="1" applyAlignment="1">
      <alignment horizontal="center"/>
    </xf>
    <xf numFmtId="164" fontId="2" fillId="7" borderId="1" xfId="1" applyNumberFormat="1" applyFont="1" applyFill="1" applyBorder="1" applyAlignment="1">
      <alignment horizontal="center"/>
    </xf>
    <xf numFmtId="164" fontId="1" fillId="4" borderId="1" xfId="1" applyNumberFormat="1" applyFont="1" applyFill="1" applyBorder="1" applyAlignment="1">
      <alignment horizontal="center"/>
    </xf>
    <xf numFmtId="0" fontId="3" fillId="2" borderId="0" xfId="0" applyFont="1" applyFill="1" applyAlignment="1">
      <alignment horizontal="center" vertical="center"/>
    </xf>
    <xf numFmtId="14" fontId="0" fillId="0" borderId="0" xfId="0" applyNumberFormat="1"/>
    <xf numFmtId="21" fontId="0" fillId="0" borderId="0" xfId="0" applyNumberFormat="1"/>
    <xf numFmtId="20" fontId="0" fillId="0" borderId="0" xfId="0" applyNumberFormat="1"/>
    <xf numFmtId="0" fontId="0" fillId="6" borderId="0" xfId="0" applyFill="1"/>
    <xf numFmtId="0" fontId="0" fillId="0" borderId="0" xfId="0" applyFill="1"/>
    <xf numFmtId="0" fontId="5" fillId="5" borderId="3" xfId="0" applyFont="1" applyFill="1" applyBorder="1"/>
    <xf numFmtId="0" fontId="5" fillId="5" borderId="4" xfId="0" applyFont="1" applyFill="1" applyBorder="1"/>
    <xf numFmtId="0" fontId="8" fillId="6" borderId="3" xfId="0" applyFont="1" applyFill="1" applyBorder="1" applyAlignment="1">
      <alignment horizontal="left"/>
    </xf>
    <xf numFmtId="0" fontId="8" fillId="6" borderId="3" xfId="0" applyFont="1" applyFill="1" applyBorder="1" applyAlignment="1">
      <alignment horizontal="center"/>
    </xf>
    <xf numFmtId="0" fontId="8" fillId="6" borderId="4" xfId="0" applyFont="1" applyFill="1" applyBorder="1" applyAlignment="1">
      <alignment horizontal="center"/>
    </xf>
    <xf numFmtId="0" fontId="9" fillId="2" borderId="0" xfId="0" applyFont="1" applyFill="1"/>
    <xf numFmtId="14" fontId="1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0" xfId="0" applyFill="1" applyBorder="1"/>
    <xf numFmtId="0" fontId="0" fillId="2" borderId="14" xfId="0" applyFill="1" applyBorder="1"/>
    <xf numFmtId="0" fontId="10" fillId="8" borderId="3" xfId="0" applyFont="1" applyFill="1" applyBorder="1" applyAlignment="1">
      <alignment horizontal="left"/>
    </xf>
    <xf numFmtId="0" fontId="11" fillId="7" borderId="3" xfId="0" applyFont="1" applyFill="1" applyBorder="1"/>
    <xf numFmtId="164" fontId="7" fillId="3" borderId="1" xfId="1" applyNumberFormat="1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2" fillId="8" borderId="3" xfId="0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3" fillId="2" borderId="0" xfId="0" applyFont="1" applyFill="1" applyAlignment="1">
      <alignment horizontal="center" vertical="center"/>
    </xf>
    <xf numFmtId="14" fontId="1" fillId="2" borderId="32" xfId="0" applyNumberFormat="1" applyFont="1" applyFill="1" applyBorder="1" applyAlignment="1">
      <alignment horizontal="center"/>
    </xf>
    <xf numFmtId="0" fontId="2" fillId="8" borderId="5" xfId="0" applyFont="1" applyFill="1" applyBorder="1" applyAlignment="1">
      <alignment horizontal="center"/>
    </xf>
    <xf numFmtId="0" fontId="2" fillId="8" borderId="6" xfId="0" applyFont="1" applyFill="1" applyBorder="1" applyAlignment="1">
      <alignment horizontal="center"/>
    </xf>
    <xf numFmtId="0" fontId="2" fillId="8" borderId="7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8" borderId="10" xfId="0" applyFont="1" applyFill="1" applyBorder="1" applyAlignment="1">
      <alignment horizontal="center" vertical="center"/>
    </xf>
    <xf numFmtId="0" fontId="2" fillId="8" borderId="11" xfId="0" applyFont="1" applyFill="1" applyBorder="1" applyAlignment="1">
      <alignment horizontal="center" vertical="center"/>
    </xf>
    <xf numFmtId="0" fontId="2" fillId="8" borderId="0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center" vertical="center"/>
    </xf>
    <xf numFmtId="0" fontId="2" fillId="8" borderId="13" xfId="0" applyFont="1" applyFill="1" applyBorder="1" applyAlignment="1">
      <alignment horizontal="center" vertical="center"/>
    </xf>
    <xf numFmtId="0" fontId="2" fillId="8" borderId="14" xfId="0" applyFont="1" applyFill="1" applyBorder="1" applyAlignment="1">
      <alignment horizontal="center" vertical="center"/>
    </xf>
    <xf numFmtId="0" fontId="2" fillId="8" borderId="15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3" borderId="31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7" borderId="6" xfId="0" applyFont="1" applyFill="1" applyBorder="1" applyAlignment="1">
      <alignment horizontal="center"/>
    </xf>
    <xf numFmtId="0" fontId="2" fillId="7" borderId="7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2" fillId="8" borderId="9" xfId="0" applyFont="1" applyFill="1" applyBorder="1" applyAlignment="1">
      <alignment horizontal="center"/>
    </xf>
    <xf numFmtId="0" fontId="2" fillId="8" borderId="10" xfId="0" applyFont="1" applyFill="1" applyBorder="1" applyAlignment="1">
      <alignment horizontal="center"/>
    </xf>
    <xf numFmtId="0" fontId="2" fillId="3" borderId="16" xfId="0" applyFont="1" applyFill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/>
    </xf>
    <xf numFmtId="0" fontId="2" fillId="3" borderId="19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3" borderId="21" xfId="0" applyFont="1" applyFill="1" applyBorder="1" applyAlignment="1">
      <alignment horizontal="center"/>
    </xf>
    <xf numFmtId="0" fontId="2" fillId="3" borderId="22" xfId="0" applyFon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118"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  <dxf>
      <font>
        <color theme="1"/>
      </font>
      <fill>
        <patternFill>
          <bgColor theme="2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25E53-21B6-4B77-8C50-94BDA0FFAB40}">
  <sheetPr codeName="Sheet1"/>
  <dimension ref="A1:AE66"/>
  <sheetViews>
    <sheetView tabSelected="1" workbookViewId="0">
      <selection activeCell="E6" sqref="E6"/>
    </sheetView>
  </sheetViews>
  <sheetFormatPr defaultRowHeight="15" x14ac:dyDescent="0.25"/>
  <cols>
    <col min="1" max="1" width="2.140625" style="49" bestFit="1" customWidth="1"/>
    <col min="2" max="3" width="9.140625" style="49"/>
    <col min="4" max="4" width="11" style="49" bestFit="1" customWidth="1"/>
    <col min="5" max="5" width="9.140625" style="50"/>
    <col min="7" max="7" width="11.28515625" customWidth="1"/>
    <col min="9" max="9" width="10.85546875" customWidth="1"/>
  </cols>
  <sheetData>
    <row r="1" spans="1:31" x14ac:dyDescent="0.25">
      <c r="F1" t="s">
        <v>74</v>
      </c>
      <c r="N1" t="s">
        <v>75</v>
      </c>
      <c r="W1" s="46">
        <v>44902</v>
      </c>
      <c r="X1" s="47">
        <v>0.52285879629629628</v>
      </c>
    </row>
    <row r="2" spans="1:31" x14ac:dyDescent="0.25">
      <c r="F2" t="s">
        <v>76</v>
      </c>
      <c r="N2" t="s">
        <v>0</v>
      </c>
      <c r="W2" t="s">
        <v>77</v>
      </c>
      <c r="X2">
        <v>1</v>
      </c>
    </row>
    <row r="3" spans="1:31" x14ac:dyDescent="0.25">
      <c r="F3" t="s">
        <v>78</v>
      </c>
      <c r="G3" t="s">
        <v>79</v>
      </c>
      <c r="W3" t="s">
        <v>80</v>
      </c>
      <c r="X3" t="s">
        <v>81</v>
      </c>
    </row>
    <row r="4" spans="1:31" x14ac:dyDescent="0.25">
      <c r="F4" t="s">
        <v>82</v>
      </c>
      <c r="G4" s="46">
        <v>44901</v>
      </c>
      <c r="H4" t="s">
        <v>83</v>
      </c>
      <c r="I4" s="46">
        <v>44901</v>
      </c>
    </row>
    <row r="5" spans="1:31" x14ac:dyDescent="0.25">
      <c r="F5" t="s">
        <v>84</v>
      </c>
    </row>
    <row r="6" spans="1:31" x14ac:dyDescent="0.25">
      <c r="F6" t="s">
        <v>85</v>
      </c>
      <c r="G6" t="s">
        <v>107</v>
      </c>
      <c r="H6" t="s">
        <v>107</v>
      </c>
    </row>
    <row r="7" spans="1:31" x14ac:dyDescent="0.25">
      <c r="F7" t="s">
        <v>86</v>
      </c>
    </row>
    <row r="8" spans="1:31" x14ac:dyDescent="0.25">
      <c r="W8" t="s">
        <v>87</v>
      </c>
      <c r="X8" t="s">
        <v>88</v>
      </c>
      <c r="AA8" t="s">
        <v>88</v>
      </c>
    </row>
    <row r="9" spans="1:31" x14ac:dyDescent="0.25">
      <c r="K9" t="s">
        <v>89</v>
      </c>
      <c r="L9" t="s">
        <v>89</v>
      </c>
      <c r="M9" t="s">
        <v>87</v>
      </c>
      <c r="N9" t="s">
        <v>88</v>
      </c>
      <c r="O9" t="s">
        <v>87</v>
      </c>
      <c r="P9" t="s">
        <v>90</v>
      </c>
      <c r="R9" t="s">
        <v>91</v>
      </c>
      <c r="S9" t="s">
        <v>87</v>
      </c>
      <c r="U9" t="s">
        <v>87</v>
      </c>
      <c r="V9" t="s">
        <v>92</v>
      </c>
      <c r="W9" t="s">
        <v>5</v>
      </c>
      <c r="X9" t="s">
        <v>5</v>
      </c>
      <c r="Z9" t="s">
        <v>93</v>
      </c>
      <c r="AA9" t="s">
        <v>1</v>
      </c>
      <c r="AC9" t="s">
        <v>88</v>
      </c>
      <c r="AD9" t="s">
        <v>94</v>
      </c>
      <c r="AE9" t="s">
        <v>95</v>
      </c>
    </row>
    <row r="10" spans="1:31" x14ac:dyDescent="0.25">
      <c r="F10" t="s">
        <v>1</v>
      </c>
      <c r="G10" t="s">
        <v>2</v>
      </c>
      <c r="H10" t="s">
        <v>3</v>
      </c>
      <c r="I10" t="s">
        <v>4</v>
      </c>
      <c r="J10" t="s">
        <v>96</v>
      </c>
      <c r="K10" t="s">
        <v>6</v>
      </c>
      <c r="L10" t="s">
        <v>7</v>
      </c>
      <c r="M10" t="s">
        <v>97</v>
      </c>
      <c r="N10" t="s">
        <v>97</v>
      </c>
      <c r="O10" t="s">
        <v>98</v>
      </c>
      <c r="P10" t="s">
        <v>89</v>
      </c>
      <c r="Q10" t="s">
        <v>8</v>
      </c>
      <c r="R10" t="s">
        <v>99</v>
      </c>
      <c r="S10" t="s">
        <v>100</v>
      </c>
      <c r="T10" t="s">
        <v>5</v>
      </c>
      <c r="U10" t="s">
        <v>101</v>
      </c>
      <c r="V10" t="s">
        <v>102</v>
      </c>
      <c r="W10" t="s">
        <v>103</v>
      </c>
      <c r="X10" t="s">
        <v>103</v>
      </c>
      <c r="Y10" t="s">
        <v>9</v>
      </c>
      <c r="Z10" t="s">
        <v>104</v>
      </c>
      <c r="AA10" t="s">
        <v>104</v>
      </c>
      <c r="AB10" t="s">
        <v>10</v>
      </c>
      <c r="AC10" t="s">
        <v>10</v>
      </c>
      <c r="AD10" t="s">
        <v>105</v>
      </c>
      <c r="AE10" t="s">
        <v>105</v>
      </c>
    </row>
    <row r="11" spans="1:31" x14ac:dyDescent="0.25">
      <c r="F11" t="s">
        <v>86</v>
      </c>
    </row>
    <row r="12" spans="1:31" x14ac:dyDescent="0.25">
      <c r="A12" s="49" t="str">
        <f>IF(F12="Shift Code",G12, A11)</f>
        <v>B</v>
      </c>
      <c r="B12" s="49">
        <f>IF((LEFT(F12,10) = "        FS"), A12&amp;F12, 0)</f>
        <v>0</v>
      </c>
      <c r="C12" s="49">
        <f t="shared" ref="C12:C13" si="0">IF(AND(B12&lt;&gt;0,B11=0),1,IF(AND(B12&lt;&gt;0,B12=B11), C11+1, 0))</f>
        <v>0</v>
      </c>
      <c r="D12" s="49" t="str">
        <f>B12&amp;" "&amp;C12</f>
        <v>0 0</v>
      </c>
      <c r="F12" t="s">
        <v>35</v>
      </c>
      <c r="G12" t="s">
        <v>43</v>
      </c>
    </row>
    <row r="13" spans="1:31" x14ac:dyDescent="0.25">
      <c r="A13" s="49" t="str">
        <f t="shared" ref="A13:A66" si="1">IF(F13="Shift Code",G13, A12)</f>
        <v>B</v>
      </c>
      <c r="B13" s="49">
        <f t="shared" ref="B13:B66" si="2">IF((LEFT(F13,10) = "        FS"), A13&amp;F13, 0)</f>
        <v>0</v>
      </c>
      <c r="C13" s="49">
        <f t="shared" si="0"/>
        <v>0</v>
      </c>
      <c r="D13" s="49" t="str">
        <f t="shared" ref="D13:D66" si="3">B13&amp;" "&amp;C13</f>
        <v>0 0</v>
      </c>
      <c r="F13" t="s">
        <v>22</v>
      </c>
      <c r="G13" t="s">
        <v>21</v>
      </c>
      <c r="H13" t="s">
        <v>37</v>
      </c>
    </row>
    <row r="14" spans="1:31" x14ac:dyDescent="0.25">
      <c r="A14" s="49" t="str">
        <f t="shared" si="1"/>
        <v>B</v>
      </c>
      <c r="B14" s="49" t="str">
        <f t="shared" si="2"/>
        <v>B        FS01</v>
      </c>
      <c r="C14" s="49">
        <f>IF(AND(B14&lt;&gt;0,B13=0),1,IF(AND(B14&lt;&gt;0,B14=B13), C13+1, 0))</f>
        <v>1</v>
      </c>
      <c r="D14" s="49" t="str">
        <f t="shared" si="3"/>
        <v>B        FS01 1</v>
      </c>
      <c r="F14" t="s">
        <v>21</v>
      </c>
      <c r="G14">
        <v>30008035</v>
      </c>
      <c r="H14" t="s">
        <v>108</v>
      </c>
      <c r="I14">
        <v>408915</v>
      </c>
      <c r="J14" s="46">
        <v>44901</v>
      </c>
      <c r="K14" s="48">
        <v>0.14583333333333334</v>
      </c>
      <c r="L14" s="48">
        <v>0.64583333333333337</v>
      </c>
      <c r="M14">
        <v>8</v>
      </c>
      <c r="N14">
        <v>12</v>
      </c>
      <c r="O14">
        <v>3920</v>
      </c>
      <c r="P14">
        <v>7975</v>
      </c>
      <c r="Q14">
        <v>720</v>
      </c>
      <c r="R14">
        <v>100</v>
      </c>
      <c r="S14">
        <v>20</v>
      </c>
      <c r="U14">
        <v>20</v>
      </c>
      <c r="X14">
        <v>10</v>
      </c>
      <c r="Y14">
        <v>580</v>
      </c>
      <c r="Z14">
        <v>165</v>
      </c>
      <c r="AA14">
        <v>165</v>
      </c>
      <c r="AB14">
        <v>49.15</v>
      </c>
    </row>
    <row r="15" spans="1:31" x14ac:dyDescent="0.25">
      <c r="A15" s="49" t="str">
        <f t="shared" si="1"/>
        <v>B</v>
      </c>
      <c r="B15" s="49">
        <f t="shared" si="2"/>
        <v>0</v>
      </c>
      <c r="C15" s="49">
        <f t="shared" ref="C15:C66" si="4">IF(AND(B15&lt;&gt;0,B14=0),1,IF(AND(B15&lt;&gt;0,B15=B14), C14+1, 0))</f>
        <v>0</v>
      </c>
      <c r="D15" s="49" t="str">
        <f t="shared" si="3"/>
        <v>0 0</v>
      </c>
      <c r="M15" t="s">
        <v>19</v>
      </c>
      <c r="O15">
        <v>3920</v>
      </c>
      <c r="P15">
        <v>7975</v>
      </c>
      <c r="Q15">
        <v>720</v>
      </c>
      <c r="R15">
        <v>100</v>
      </c>
      <c r="S15">
        <v>20</v>
      </c>
      <c r="U15">
        <v>20</v>
      </c>
      <c r="X15">
        <v>10</v>
      </c>
      <c r="Y15">
        <v>580</v>
      </c>
    </row>
    <row r="16" spans="1:31" x14ac:dyDescent="0.25">
      <c r="A16" s="49" t="str">
        <f t="shared" si="1"/>
        <v>B</v>
      </c>
      <c r="B16" s="49">
        <f t="shared" si="2"/>
        <v>0</v>
      </c>
      <c r="C16" s="49">
        <f t="shared" si="4"/>
        <v>0</v>
      </c>
      <c r="D16" s="49" t="str">
        <f t="shared" si="3"/>
        <v>0 0</v>
      </c>
      <c r="F16" t="s">
        <v>22</v>
      </c>
      <c r="G16" t="s">
        <v>23</v>
      </c>
      <c r="H16" t="s">
        <v>24</v>
      </c>
    </row>
    <row r="17" spans="1:28" x14ac:dyDescent="0.25">
      <c r="A17" s="49" t="str">
        <f t="shared" si="1"/>
        <v>B</v>
      </c>
      <c r="B17" s="49" t="str">
        <f t="shared" si="2"/>
        <v>B        FS03</v>
      </c>
      <c r="C17" s="49">
        <f t="shared" si="4"/>
        <v>1</v>
      </c>
      <c r="D17" s="49" t="str">
        <f t="shared" si="3"/>
        <v>B        FS03 1</v>
      </c>
      <c r="F17" t="s">
        <v>23</v>
      </c>
      <c r="G17">
        <v>96700026</v>
      </c>
      <c r="H17" t="s">
        <v>109</v>
      </c>
      <c r="I17">
        <v>408959</v>
      </c>
      <c r="J17" s="46">
        <v>44901</v>
      </c>
      <c r="K17" s="48">
        <v>0.14583333333333334</v>
      </c>
      <c r="L17" s="48">
        <v>0.64583333333333337</v>
      </c>
      <c r="M17">
        <v>9</v>
      </c>
      <c r="N17">
        <v>12</v>
      </c>
      <c r="O17">
        <v>486</v>
      </c>
      <c r="P17">
        <v>1915.83</v>
      </c>
      <c r="Q17">
        <v>720</v>
      </c>
      <c r="R17">
        <v>105</v>
      </c>
      <c r="U17">
        <v>10</v>
      </c>
      <c r="X17">
        <v>10</v>
      </c>
      <c r="Y17">
        <v>605</v>
      </c>
      <c r="Z17">
        <v>380</v>
      </c>
      <c r="AA17">
        <v>380</v>
      </c>
      <c r="AB17">
        <v>25.37</v>
      </c>
    </row>
    <row r="18" spans="1:28" x14ac:dyDescent="0.25">
      <c r="A18" s="49" t="str">
        <f t="shared" si="1"/>
        <v>B</v>
      </c>
      <c r="B18" s="49">
        <f t="shared" si="2"/>
        <v>0</v>
      </c>
      <c r="C18" s="49">
        <f t="shared" si="4"/>
        <v>0</v>
      </c>
      <c r="D18" s="49" t="str">
        <f t="shared" si="3"/>
        <v>0 0</v>
      </c>
      <c r="M18" t="s">
        <v>19</v>
      </c>
      <c r="O18">
        <v>486</v>
      </c>
      <c r="P18">
        <v>1916</v>
      </c>
      <c r="Q18">
        <v>720</v>
      </c>
      <c r="R18">
        <v>105</v>
      </c>
      <c r="U18">
        <v>10</v>
      </c>
      <c r="X18">
        <v>10</v>
      </c>
      <c r="Y18">
        <v>605</v>
      </c>
    </row>
    <row r="19" spans="1:28" x14ac:dyDescent="0.25">
      <c r="A19" s="49" t="str">
        <f t="shared" si="1"/>
        <v>B</v>
      </c>
      <c r="B19" s="49">
        <f t="shared" si="2"/>
        <v>0</v>
      </c>
      <c r="C19" s="49">
        <f t="shared" si="4"/>
        <v>0</v>
      </c>
      <c r="D19" s="49" t="str">
        <f t="shared" si="3"/>
        <v>0 0</v>
      </c>
      <c r="F19" t="s">
        <v>22</v>
      </c>
      <c r="G19" t="s">
        <v>25</v>
      </c>
      <c r="H19" t="s">
        <v>26</v>
      </c>
    </row>
    <row r="20" spans="1:28" x14ac:dyDescent="0.25">
      <c r="A20" s="49" t="str">
        <f t="shared" si="1"/>
        <v>B</v>
      </c>
      <c r="B20" s="49" t="str">
        <f t="shared" si="2"/>
        <v>B        FS04</v>
      </c>
      <c r="C20" s="49">
        <f t="shared" si="4"/>
        <v>1</v>
      </c>
      <c r="D20" s="49" t="str">
        <f t="shared" si="3"/>
        <v>B        FS04 1</v>
      </c>
      <c r="F20" t="s">
        <v>25</v>
      </c>
      <c r="G20">
        <v>30005034</v>
      </c>
      <c r="H20" t="s">
        <v>110</v>
      </c>
      <c r="I20">
        <v>408999</v>
      </c>
      <c r="J20" s="46">
        <v>44901</v>
      </c>
      <c r="K20" s="48">
        <v>0.20833333333333334</v>
      </c>
      <c r="L20" s="48">
        <v>0.64583333333333337</v>
      </c>
      <c r="M20">
        <v>8</v>
      </c>
      <c r="N20">
        <v>6</v>
      </c>
      <c r="O20">
        <v>1990</v>
      </c>
      <c r="P20">
        <v>5127.08</v>
      </c>
      <c r="Q20">
        <v>630</v>
      </c>
      <c r="R20">
        <v>80</v>
      </c>
      <c r="U20">
        <v>15</v>
      </c>
      <c r="X20">
        <v>12</v>
      </c>
      <c r="Y20">
        <v>535</v>
      </c>
      <c r="Z20">
        <v>230</v>
      </c>
      <c r="AA20">
        <v>230</v>
      </c>
      <c r="AB20">
        <v>38.81</v>
      </c>
    </row>
    <row r="21" spans="1:28" x14ac:dyDescent="0.25">
      <c r="A21" s="49" t="str">
        <f t="shared" si="1"/>
        <v>B</v>
      </c>
      <c r="B21" s="49">
        <f t="shared" si="2"/>
        <v>0</v>
      </c>
      <c r="C21" s="49">
        <f t="shared" si="4"/>
        <v>0</v>
      </c>
      <c r="D21" s="49" t="str">
        <f t="shared" si="3"/>
        <v>0 0</v>
      </c>
      <c r="M21" t="s">
        <v>19</v>
      </c>
      <c r="O21">
        <v>1990</v>
      </c>
      <c r="P21">
        <v>5127</v>
      </c>
      <c r="Q21">
        <v>630</v>
      </c>
      <c r="R21">
        <v>80</v>
      </c>
      <c r="U21">
        <v>15</v>
      </c>
      <c r="X21">
        <v>12</v>
      </c>
      <c r="Y21">
        <v>535</v>
      </c>
    </row>
    <row r="22" spans="1:28" x14ac:dyDescent="0.25">
      <c r="A22" s="49" t="str">
        <f t="shared" si="1"/>
        <v>B</v>
      </c>
      <c r="B22" s="49">
        <f t="shared" si="2"/>
        <v>0</v>
      </c>
      <c r="C22" s="49">
        <f t="shared" si="4"/>
        <v>0</v>
      </c>
      <c r="D22" s="49" t="str">
        <f t="shared" si="3"/>
        <v>0 0</v>
      </c>
      <c r="F22" t="s">
        <v>22</v>
      </c>
      <c r="G22" t="s">
        <v>27</v>
      </c>
      <c r="H22" t="s">
        <v>28</v>
      </c>
    </row>
    <row r="23" spans="1:28" x14ac:dyDescent="0.25">
      <c r="A23" s="49" t="str">
        <f t="shared" si="1"/>
        <v>B</v>
      </c>
      <c r="B23" s="49" t="str">
        <f t="shared" si="2"/>
        <v>B        FS05</v>
      </c>
      <c r="C23" s="49">
        <f t="shared" si="4"/>
        <v>1</v>
      </c>
      <c r="D23" s="49" t="str">
        <f t="shared" si="3"/>
        <v>B        FS05 1</v>
      </c>
      <c r="F23" t="s">
        <v>27</v>
      </c>
      <c r="G23">
        <v>30001034</v>
      </c>
      <c r="H23" t="s">
        <v>111</v>
      </c>
      <c r="I23">
        <v>409371</v>
      </c>
      <c r="J23" s="46">
        <v>44901</v>
      </c>
      <c r="K23" s="48">
        <v>0.20833333333333334</v>
      </c>
      <c r="L23" s="48">
        <v>0.64583333333333337</v>
      </c>
      <c r="M23">
        <v>7</v>
      </c>
      <c r="N23">
        <v>6</v>
      </c>
      <c r="O23">
        <v>972</v>
      </c>
      <c r="P23">
        <v>2682.29</v>
      </c>
      <c r="Q23">
        <v>630</v>
      </c>
      <c r="R23">
        <v>85</v>
      </c>
      <c r="U23">
        <v>30</v>
      </c>
      <c r="X23">
        <v>12</v>
      </c>
      <c r="Y23">
        <v>515</v>
      </c>
      <c r="Z23">
        <v>250</v>
      </c>
      <c r="AA23">
        <v>250</v>
      </c>
      <c r="AB23">
        <v>36.24</v>
      </c>
    </row>
    <row r="24" spans="1:28" x14ac:dyDescent="0.25">
      <c r="A24" s="49" t="str">
        <f t="shared" si="1"/>
        <v>B</v>
      </c>
      <c r="B24" s="49">
        <f t="shared" si="2"/>
        <v>0</v>
      </c>
      <c r="C24" s="49">
        <f t="shared" si="4"/>
        <v>0</v>
      </c>
      <c r="D24" s="49" t="str">
        <f t="shared" si="3"/>
        <v>0 0</v>
      </c>
      <c r="M24" t="s">
        <v>19</v>
      </c>
      <c r="O24">
        <v>972</v>
      </c>
      <c r="P24">
        <v>2682</v>
      </c>
      <c r="Q24">
        <v>630</v>
      </c>
      <c r="R24">
        <v>85</v>
      </c>
      <c r="U24">
        <v>30</v>
      </c>
      <c r="X24">
        <v>12</v>
      </c>
      <c r="Y24">
        <v>515</v>
      </c>
    </row>
    <row r="25" spans="1:28" x14ac:dyDescent="0.25">
      <c r="A25" s="49" t="str">
        <f t="shared" si="1"/>
        <v>B</v>
      </c>
      <c r="B25" s="49">
        <f t="shared" si="2"/>
        <v>0</v>
      </c>
      <c r="C25" s="49">
        <f t="shared" si="4"/>
        <v>0</v>
      </c>
      <c r="D25" s="49" t="str">
        <f t="shared" si="3"/>
        <v>0 0</v>
      </c>
      <c r="F25" t="s">
        <v>22</v>
      </c>
      <c r="G25" t="s">
        <v>31</v>
      </c>
      <c r="H25" t="s">
        <v>32</v>
      </c>
    </row>
    <row r="26" spans="1:28" x14ac:dyDescent="0.25">
      <c r="A26" s="49" t="str">
        <f t="shared" si="1"/>
        <v>B</v>
      </c>
      <c r="B26" s="49" t="str">
        <f t="shared" si="2"/>
        <v>B        FS10</v>
      </c>
      <c r="C26" s="49">
        <f t="shared" si="4"/>
        <v>1</v>
      </c>
      <c r="D26" s="49" t="str">
        <f t="shared" si="3"/>
        <v>B        FS10 1</v>
      </c>
      <c r="F26" t="s">
        <v>31</v>
      </c>
      <c r="G26">
        <v>63009647</v>
      </c>
      <c r="H26" t="s">
        <v>112</v>
      </c>
      <c r="I26">
        <v>409039</v>
      </c>
      <c r="J26" s="46">
        <v>44901</v>
      </c>
      <c r="K26" s="48">
        <v>0.20833333333333334</v>
      </c>
      <c r="L26" s="48">
        <v>0.64583333333333337</v>
      </c>
      <c r="M26">
        <v>10</v>
      </c>
      <c r="N26">
        <v>7</v>
      </c>
      <c r="O26">
        <v>4747</v>
      </c>
      <c r="P26">
        <v>11875</v>
      </c>
      <c r="Q26">
        <v>630</v>
      </c>
      <c r="R26">
        <v>35</v>
      </c>
      <c r="U26">
        <v>25</v>
      </c>
      <c r="X26">
        <v>14</v>
      </c>
      <c r="Y26">
        <v>570</v>
      </c>
      <c r="Z26">
        <v>250</v>
      </c>
      <c r="AA26">
        <v>250</v>
      </c>
      <c r="AB26">
        <v>39.97</v>
      </c>
    </row>
    <row r="27" spans="1:28" x14ac:dyDescent="0.25">
      <c r="A27" s="49" t="str">
        <f t="shared" si="1"/>
        <v>B</v>
      </c>
      <c r="B27" s="49">
        <f t="shared" si="2"/>
        <v>0</v>
      </c>
      <c r="C27" s="49">
        <f t="shared" si="4"/>
        <v>0</v>
      </c>
      <c r="D27" s="49" t="str">
        <f t="shared" si="3"/>
        <v>0 0</v>
      </c>
      <c r="M27" t="s">
        <v>19</v>
      </c>
      <c r="O27">
        <v>4747</v>
      </c>
      <c r="P27">
        <v>11875</v>
      </c>
      <c r="Q27">
        <v>630</v>
      </c>
      <c r="R27">
        <v>35</v>
      </c>
      <c r="U27">
        <v>25</v>
      </c>
      <c r="X27">
        <v>14</v>
      </c>
      <c r="Y27">
        <v>570</v>
      </c>
    </row>
    <row r="28" spans="1:28" x14ac:dyDescent="0.25">
      <c r="A28" s="49" t="str">
        <f t="shared" si="1"/>
        <v>B</v>
      </c>
      <c r="B28" s="49">
        <f t="shared" si="2"/>
        <v>0</v>
      </c>
      <c r="C28" s="49">
        <f t="shared" si="4"/>
        <v>0</v>
      </c>
      <c r="D28" s="49" t="str">
        <f t="shared" si="3"/>
        <v>0 0</v>
      </c>
      <c r="F28" t="s">
        <v>22</v>
      </c>
      <c r="G28" t="s">
        <v>33</v>
      </c>
      <c r="H28" t="s">
        <v>34</v>
      </c>
    </row>
    <row r="29" spans="1:28" x14ac:dyDescent="0.25">
      <c r="A29" s="49" t="str">
        <f t="shared" si="1"/>
        <v>B</v>
      </c>
      <c r="B29" s="49" t="str">
        <f t="shared" si="2"/>
        <v>B        FS12</v>
      </c>
      <c r="C29" s="49">
        <f t="shared" si="4"/>
        <v>1</v>
      </c>
      <c r="D29" s="49" t="str">
        <f t="shared" si="3"/>
        <v>B        FS12 1</v>
      </c>
      <c r="F29" t="s">
        <v>33</v>
      </c>
      <c r="G29">
        <v>63012825</v>
      </c>
      <c r="H29" t="s">
        <v>113</v>
      </c>
      <c r="I29">
        <v>409092</v>
      </c>
      <c r="J29" s="46">
        <v>44901</v>
      </c>
      <c r="K29" s="48">
        <v>0.20833333333333334</v>
      </c>
      <c r="L29" s="48">
        <v>0.64583333333333337</v>
      </c>
      <c r="M29">
        <v>4</v>
      </c>
      <c r="N29">
        <v>5</v>
      </c>
      <c r="O29">
        <v>1207</v>
      </c>
      <c r="P29">
        <v>10175</v>
      </c>
      <c r="Q29">
        <v>630</v>
      </c>
      <c r="R29">
        <v>30</v>
      </c>
      <c r="T29">
        <v>45</v>
      </c>
      <c r="W29">
        <v>3</v>
      </c>
      <c r="X29">
        <v>10</v>
      </c>
      <c r="Y29">
        <v>555</v>
      </c>
      <c r="Z29">
        <v>110</v>
      </c>
      <c r="AA29">
        <v>110</v>
      </c>
      <c r="AB29">
        <v>11.86</v>
      </c>
    </row>
    <row r="30" spans="1:28" x14ac:dyDescent="0.25">
      <c r="A30" s="49" t="str">
        <f t="shared" si="1"/>
        <v>B</v>
      </c>
      <c r="B30" s="49">
        <f t="shared" si="2"/>
        <v>0</v>
      </c>
      <c r="C30" s="49">
        <f t="shared" si="4"/>
        <v>0</v>
      </c>
      <c r="D30" s="49" t="str">
        <f t="shared" si="3"/>
        <v>0 0</v>
      </c>
      <c r="M30" t="s">
        <v>19</v>
      </c>
      <c r="O30">
        <v>1207</v>
      </c>
      <c r="P30">
        <v>10175</v>
      </c>
      <c r="Q30">
        <v>630</v>
      </c>
      <c r="R30">
        <v>30</v>
      </c>
      <c r="T30">
        <v>45</v>
      </c>
      <c r="W30">
        <v>3</v>
      </c>
      <c r="X30">
        <v>10</v>
      </c>
      <c r="Y30">
        <v>555</v>
      </c>
    </row>
    <row r="31" spans="1:28" x14ac:dyDescent="0.25">
      <c r="A31" s="49" t="str">
        <f t="shared" si="1"/>
        <v>B</v>
      </c>
      <c r="B31" s="49">
        <f t="shared" si="2"/>
        <v>0</v>
      </c>
      <c r="C31" s="49">
        <f t="shared" si="4"/>
        <v>0</v>
      </c>
      <c r="D31" s="49" t="str">
        <f t="shared" si="3"/>
        <v>0 0</v>
      </c>
      <c r="F31" t="s">
        <v>22</v>
      </c>
      <c r="G31" t="s">
        <v>114</v>
      </c>
      <c r="H31" t="s">
        <v>115</v>
      </c>
    </row>
    <row r="32" spans="1:28" x14ac:dyDescent="0.25">
      <c r="A32" s="49" t="str">
        <f t="shared" si="1"/>
        <v>B</v>
      </c>
      <c r="B32" s="49" t="str">
        <f t="shared" si="2"/>
        <v>B        FS14</v>
      </c>
      <c r="C32" s="49">
        <f t="shared" si="4"/>
        <v>1</v>
      </c>
      <c r="D32" s="49" t="str">
        <f t="shared" si="3"/>
        <v>B        FS14 1</v>
      </c>
      <c r="F32" t="s">
        <v>114</v>
      </c>
      <c r="G32">
        <v>65119005</v>
      </c>
      <c r="H32" t="s">
        <v>116</v>
      </c>
      <c r="I32">
        <v>409116</v>
      </c>
      <c r="J32" s="46">
        <v>44901</v>
      </c>
      <c r="K32" s="48">
        <v>0.33333333333333331</v>
      </c>
      <c r="L32" s="48">
        <v>0.58333333333333337</v>
      </c>
      <c r="M32">
        <v>5</v>
      </c>
      <c r="N32">
        <v>12</v>
      </c>
      <c r="O32">
        <v>290</v>
      </c>
      <c r="P32">
        <v>6662.5</v>
      </c>
      <c r="Q32">
        <v>360</v>
      </c>
      <c r="R32">
        <v>60</v>
      </c>
      <c r="X32">
        <v>10</v>
      </c>
      <c r="Y32">
        <v>300</v>
      </c>
      <c r="Z32">
        <v>533</v>
      </c>
      <c r="AA32">
        <v>533</v>
      </c>
      <c r="AB32">
        <v>4.3499999999999996</v>
      </c>
    </row>
    <row r="33" spans="1:28" x14ac:dyDescent="0.25">
      <c r="A33" s="49" t="str">
        <f t="shared" si="1"/>
        <v>B</v>
      </c>
      <c r="B33" s="49">
        <f t="shared" si="2"/>
        <v>0</v>
      </c>
      <c r="C33" s="49">
        <f t="shared" si="4"/>
        <v>0</v>
      </c>
      <c r="D33" s="49" t="str">
        <f t="shared" si="3"/>
        <v>0 0</v>
      </c>
      <c r="M33" t="s">
        <v>19</v>
      </c>
      <c r="O33">
        <v>290</v>
      </c>
      <c r="P33">
        <v>6663</v>
      </c>
      <c r="Q33">
        <v>360</v>
      </c>
      <c r="R33">
        <v>60</v>
      </c>
      <c r="X33">
        <v>10</v>
      </c>
      <c r="Y33">
        <v>300</v>
      </c>
    </row>
    <row r="34" spans="1:28" x14ac:dyDescent="0.25">
      <c r="A34" s="49" t="str">
        <f t="shared" si="1"/>
        <v>B</v>
      </c>
      <c r="B34" s="49">
        <f t="shared" si="2"/>
        <v>0</v>
      </c>
      <c r="C34" s="49">
        <f t="shared" si="4"/>
        <v>0</v>
      </c>
      <c r="D34" s="49" t="str">
        <f t="shared" si="3"/>
        <v>0 0</v>
      </c>
      <c r="M34" t="s">
        <v>20</v>
      </c>
      <c r="O34">
        <v>13612</v>
      </c>
      <c r="P34">
        <v>46412.71</v>
      </c>
      <c r="Q34">
        <v>4320</v>
      </c>
      <c r="R34">
        <v>495</v>
      </c>
      <c r="S34">
        <v>20</v>
      </c>
      <c r="T34">
        <v>45</v>
      </c>
      <c r="U34">
        <v>100</v>
      </c>
      <c r="W34">
        <v>3</v>
      </c>
      <c r="X34">
        <v>78</v>
      </c>
      <c r="Y34">
        <v>3660</v>
      </c>
    </row>
    <row r="35" spans="1:28" x14ac:dyDescent="0.25">
      <c r="A35" s="49" t="str">
        <f t="shared" si="1"/>
        <v>C</v>
      </c>
      <c r="B35" s="49">
        <f t="shared" si="2"/>
        <v>0</v>
      </c>
      <c r="C35" s="49">
        <f t="shared" si="4"/>
        <v>0</v>
      </c>
      <c r="D35" s="49" t="str">
        <f t="shared" si="3"/>
        <v>0 0</v>
      </c>
      <c r="F35" t="s">
        <v>35</v>
      </c>
      <c r="G35" t="s">
        <v>36</v>
      </c>
    </row>
    <row r="36" spans="1:28" x14ac:dyDescent="0.25">
      <c r="A36" s="49" t="str">
        <f t="shared" si="1"/>
        <v>C</v>
      </c>
      <c r="B36" s="49">
        <f t="shared" si="2"/>
        <v>0</v>
      </c>
      <c r="C36" s="49">
        <f t="shared" si="4"/>
        <v>0</v>
      </c>
      <c r="D36" s="49" t="str">
        <f t="shared" si="3"/>
        <v>0 0</v>
      </c>
      <c r="F36" t="s">
        <v>22</v>
      </c>
      <c r="G36" t="s">
        <v>21</v>
      </c>
      <c r="H36" t="s">
        <v>37</v>
      </c>
    </row>
    <row r="37" spans="1:28" x14ac:dyDescent="0.25">
      <c r="A37" s="49" t="str">
        <f t="shared" si="1"/>
        <v>C</v>
      </c>
      <c r="B37" s="49" t="str">
        <f t="shared" si="2"/>
        <v>C        FS01</v>
      </c>
      <c r="C37" s="49">
        <f t="shared" si="4"/>
        <v>1</v>
      </c>
      <c r="D37" s="49" t="str">
        <f t="shared" si="3"/>
        <v>C        FS01 1</v>
      </c>
      <c r="F37" t="s">
        <v>21</v>
      </c>
      <c r="G37">
        <v>30008035</v>
      </c>
      <c r="H37" t="s">
        <v>108</v>
      </c>
      <c r="I37">
        <v>408915</v>
      </c>
      <c r="J37" s="46">
        <v>44901</v>
      </c>
      <c r="K37" s="48">
        <v>0.64583333333333337</v>
      </c>
      <c r="L37" s="48">
        <v>0.14583333333333334</v>
      </c>
      <c r="M37">
        <v>8</v>
      </c>
      <c r="N37">
        <v>12</v>
      </c>
      <c r="O37">
        <v>4261</v>
      </c>
      <c r="P37">
        <v>8181.25</v>
      </c>
      <c r="Q37">
        <v>720</v>
      </c>
      <c r="R37">
        <v>95</v>
      </c>
      <c r="U37">
        <v>30</v>
      </c>
      <c r="X37">
        <v>10</v>
      </c>
      <c r="Y37">
        <v>595</v>
      </c>
      <c r="Z37">
        <v>165</v>
      </c>
      <c r="AA37">
        <v>165</v>
      </c>
      <c r="AB37">
        <v>52.08</v>
      </c>
    </row>
    <row r="38" spans="1:28" x14ac:dyDescent="0.25">
      <c r="A38" s="49" t="str">
        <f t="shared" si="1"/>
        <v>C</v>
      </c>
      <c r="B38" s="49">
        <f t="shared" si="2"/>
        <v>0</v>
      </c>
      <c r="C38" s="49">
        <f t="shared" si="4"/>
        <v>0</v>
      </c>
      <c r="D38" s="49" t="str">
        <f t="shared" si="3"/>
        <v>0 0</v>
      </c>
      <c r="M38" t="s">
        <v>19</v>
      </c>
      <c r="O38">
        <v>4261</v>
      </c>
      <c r="P38">
        <v>8181</v>
      </c>
      <c r="Q38">
        <v>720</v>
      </c>
      <c r="R38">
        <v>95</v>
      </c>
      <c r="U38">
        <v>30</v>
      </c>
      <c r="X38">
        <v>10</v>
      </c>
      <c r="Y38">
        <v>595</v>
      </c>
    </row>
    <row r="39" spans="1:28" x14ac:dyDescent="0.25">
      <c r="A39" s="49" t="str">
        <f t="shared" si="1"/>
        <v>C</v>
      </c>
      <c r="B39" s="49">
        <f t="shared" si="2"/>
        <v>0</v>
      </c>
      <c r="C39" s="49">
        <f t="shared" si="4"/>
        <v>0</v>
      </c>
      <c r="D39" s="49" t="str">
        <f t="shared" si="3"/>
        <v>0 0</v>
      </c>
      <c r="F39" t="s">
        <v>22</v>
      </c>
      <c r="G39" t="s">
        <v>23</v>
      </c>
      <c r="H39" t="s">
        <v>24</v>
      </c>
    </row>
    <row r="40" spans="1:28" x14ac:dyDescent="0.25">
      <c r="A40" s="49" t="str">
        <f t="shared" si="1"/>
        <v>C</v>
      </c>
      <c r="B40" s="49" t="str">
        <f t="shared" si="2"/>
        <v>C        FS03</v>
      </c>
      <c r="C40" s="49">
        <f t="shared" si="4"/>
        <v>1</v>
      </c>
      <c r="D40" s="49" t="str">
        <f t="shared" si="3"/>
        <v>C        FS03 1</v>
      </c>
      <c r="F40" t="s">
        <v>23</v>
      </c>
      <c r="G40">
        <v>96700026</v>
      </c>
      <c r="H40" t="s">
        <v>109</v>
      </c>
      <c r="I40">
        <v>408961</v>
      </c>
      <c r="J40" s="46">
        <v>44901</v>
      </c>
      <c r="K40" s="48">
        <v>0.64583333333333337</v>
      </c>
      <c r="L40" s="48">
        <v>0.14583333333333334</v>
      </c>
      <c r="M40">
        <v>8</v>
      </c>
      <c r="N40">
        <v>12</v>
      </c>
      <c r="O40">
        <v>729</v>
      </c>
      <c r="P40">
        <v>1900</v>
      </c>
      <c r="Q40">
        <v>720</v>
      </c>
      <c r="R40">
        <v>100</v>
      </c>
      <c r="T40">
        <v>20</v>
      </c>
      <c r="X40">
        <v>10</v>
      </c>
      <c r="Y40">
        <v>600</v>
      </c>
      <c r="Z40">
        <v>380</v>
      </c>
      <c r="AA40">
        <v>380</v>
      </c>
      <c r="AB40">
        <v>38.369999999999997</v>
      </c>
    </row>
    <row r="41" spans="1:28" x14ac:dyDescent="0.25">
      <c r="A41" s="49" t="str">
        <f t="shared" si="1"/>
        <v>C</v>
      </c>
      <c r="B41" s="49">
        <f t="shared" si="2"/>
        <v>0</v>
      </c>
      <c r="C41" s="49">
        <f t="shared" si="4"/>
        <v>0</v>
      </c>
      <c r="D41" s="49" t="str">
        <f t="shared" si="3"/>
        <v>0 0</v>
      </c>
      <c r="M41" t="s">
        <v>19</v>
      </c>
      <c r="O41">
        <v>729</v>
      </c>
      <c r="P41">
        <v>1900</v>
      </c>
      <c r="Q41">
        <v>720</v>
      </c>
      <c r="R41">
        <v>100</v>
      </c>
      <c r="T41">
        <v>20</v>
      </c>
      <c r="X41">
        <v>10</v>
      </c>
      <c r="Y41">
        <v>600</v>
      </c>
    </row>
    <row r="42" spans="1:28" x14ac:dyDescent="0.25">
      <c r="A42" s="49" t="str">
        <f t="shared" si="1"/>
        <v>C</v>
      </c>
      <c r="B42" s="49">
        <f t="shared" si="2"/>
        <v>0</v>
      </c>
      <c r="C42" s="49">
        <f t="shared" si="4"/>
        <v>0</v>
      </c>
      <c r="D42" s="49" t="str">
        <f t="shared" si="3"/>
        <v>0 0</v>
      </c>
      <c r="F42" t="s">
        <v>22</v>
      </c>
      <c r="G42" t="s">
        <v>31</v>
      </c>
      <c r="H42" t="s">
        <v>32</v>
      </c>
    </row>
    <row r="43" spans="1:28" x14ac:dyDescent="0.25">
      <c r="A43" s="49" t="str">
        <f t="shared" si="1"/>
        <v>C</v>
      </c>
      <c r="B43" s="49" t="str">
        <f t="shared" si="2"/>
        <v>C        FS10</v>
      </c>
      <c r="C43" s="49">
        <f t="shared" si="4"/>
        <v>1</v>
      </c>
      <c r="D43" s="49" t="str">
        <f t="shared" si="3"/>
        <v>C        FS10 1</v>
      </c>
      <c r="F43" t="s">
        <v>31</v>
      </c>
      <c r="G43">
        <v>63009647</v>
      </c>
      <c r="H43" t="s">
        <v>112</v>
      </c>
      <c r="I43">
        <v>409039</v>
      </c>
      <c r="J43" s="46">
        <v>44901</v>
      </c>
      <c r="K43" s="48">
        <v>0.64583333333333337</v>
      </c>
      <c r="L43" s="48">
        <v>0.99930555555555556</v>
      </c>
      <c r="M43">
        <v>21</v>
      </c>
      <c r="N43">
        <v>7</v>
      </c>
      <c r="O43">
        <v>5912</v>
      </c>
      <c r="P43">
        <v>9875</v>
      </c>
      <c r="Q43">
        <v>509</v>
      </c>
      <c r="R43">
        <v>35</v>
      </c>
      <c r="X43">
        <v>14</v>
      </c>
      <c r="Y43">
        <v>474</v>
      </c>
      <c r="Z43">
        <v>250</v>
      </c>
      <c r="AA43">
        <v>250</v>
      </c>
      <c r="AB43">
        <v>59.87</v>
      </c>
    </row>
    <row r="44" spans="1:28" x14ac:dyDescent="0.25">
      <c r="A44" s="49" t="str">
        <f t="shared" si="1"/>
        <v>C</v>
      </c>
      <c r="B44" s="49" t="str">
        <f t="shared" si="2"/>
        <v>C        FS10</v>
      </c>
      <c r="C44" s="49">
        <f t="shared" si="4"/>
        <v>2</v>
      </c>
      <c r="D44" s="49" t="str">
        <f t="shared" si="3"/>
        <v>C        FS10 2</v>
      </c>
      <c r="F44" t="s">
        <v>31</v>
      </c>
      <c r="G44">
        <v>96308001</v>
      </c>
      <c r="H44" t="s">
        <v>117</v>
      </c>
      <c r="I44">
        <v>409595</v>
      </c>
      <c r="J44" s="46">
        <v>44901</v>
      </c>
      <c r="K44" s="48">
        <v>0.99930555555555556</v>
      </c>
      <c r="L44" s="48">
        <v>8.3333333333333329E-2</v>
      </c>
      <c r="M44">
        <v>0</v>
      </c>
      <c r="N44">
        <v>13</v>
      </c>
      <c r="Q44">
        <v>121</v>
      </c>
      <c r="T44">
        <v>121</v>
      </c>
      <c r="W44">
        <v>20.170000000000002</v>
      </c>
      <c r="X44">
        <v>14</v>
      </c>
      <c r="Z44">
        <v>280</v>
      </c>
      <c r="AA44">
        <v>280</v>
      </c>
    </row>
    <row r="45" spans="1:28" x14ac:dyDescent="0.25">
      <c r="A45" s="49" t="str">
        <f t="shared" si="1"/>
        <v>C</v>
      </c>
      <c r="B45" s="49">
        <f t="shared" si="2"/>
        <v>0</v>
      </c>
      <c r="C45" s="49">
        <f t="shared" si="4"/>
        <v>0</v>
      </c>
      <c r="D45" s="49" t="str">
        <f t="shared" si="3"/>
        <v>0 0</v>
      </c>
      <c r="M45" t="s">
        <v>19</v>
      </c>
      <c r="O45">
        <v>5912</v>
      </c>
      <c r="P45">
        <v>9875</v>
      </c>
      <c r="Q45">
        <v>630</v>
      </c>
      <c r="R45">
        <v>35</v>
      </c>
      <c r="T45">
        <v>121</v>
      </c>
      <c r="W45">
        <v>20.170000000000002</v>
      </c>
      <c r="X45">
        <v>28</v>
      </c>
      <c r="Y45">
        <v>474</v>
      </c>
    </row>
    <row r="46" spans="1:28" x14ac:dyDescent="0.25">
      <c r="A46" s="49" t="str">
        <f t="shared" si="1"/>
        <v>C</v>
      </c>
      <c r="B46" s="49">
        <f t="shared" si="2"/>
        <v>0</v>
      </c>
      <c r="C46" s="49">
        <f t="shared" si="4"/>
        <v>0</v>
      </c>
      <c r="D46" s="49" t="str">
        <f t="shared" si="3"/>
        <v>0 0</v>
      </c>
      <c r="F46" t="s">
        <v>22</v>
      </c>
      <c r="G46" t="s">
        <v>33</v>
      </c>
      <c r="H46" t="s">
        <v>34</v>
      </c>
    </row>
    <row r="47" spans="1:28" x14ac:dyDescent="0.25">
      <c r="A47" s="49" t="str">
        <f t="shared" si="1"/>
        <v>C</v>
      </c>
      <c r="B47" s="49" t="str">
        <f t="shared" si="2"/>
        <v>C        FS12</v>
      </c>
      <c r="C47" s="49">
        <f t="shared" si="4"/>
        <v>1</v>
      </c>
      <c r="D47" s="49" t="str">
        <f t="shared" si="3"/>
        <v>C        FS12 1</v>
      </c>
      <c r="F47" t="s">
        <v>33</v>
      </c>
      <c r="G47">
        <v>63012825</v>
      </c>
      <c r="H47" t="s">
        <v>113</v>
      </c>
      <c r="I47">
        <v>409093</v>
      </c>
      <c r="J47" s="46">
        <v>44901</v>
      </c>
      <c r="K47" s="48">
        <v>0.64583333333333337</v>
      </c>
      <c r="L47" s="48">
        <v>8.3333333333333329E-2</v>
      </c>
      <c r="M47">
        <v>7</v>
      </c>
      <c r="N47">
        <v>5</v>
      </c>
      <c r="O47">
        <v>2914</v>
      </c>
      <c r="P47">
        <v>9625</v>
      </c>
      <c r="Q47">
        <v>630</v>
      </c>
      <c r="R47">
        <v>85</v>
      </c>
      <c r="U47">
        <v>20</v>
      </c>
      <c r="X47">
        <v>10</v>
      </c>
      <c r="Y47">
        <v>525</v>
      </c>
      <c r="Z47">
        <v>110</v>
      </c>
      <c r="AA47">
        <v>110</v>
      </c>
      <c r="AB47">
        <v>30.28</v>
      </c>
    </row>
    <row r="48" spans="1:28" x14ac:dyDescent="0.25">
      <c r="A48" s="49" t="str">
        <f t="shared" si="1"/>
        <v>C</v>
      </c>
      <c r="B48" s="49">
        <f t="shared" si="2"/>
        <v>0</v>
      </c>
      <c r="C48" s="49">
        <f t="shared" si="4"/>
        <v>0</v>
      </c>
      <c r="D48" s="49" t="str">
        <f t="shared" si="3"/>
        <v>0 0</v>
      </c>
      <c r="M48" t="s">
        <v>19</v>
      </c>
      <c r="O48">
        <v>2914</v>
      </c>
      <c r="P48">
        <v>9625</v>
      </c>
      <c r="Q48">
        <v>630</v>
      </c>
      <c r="R48">
        <v>85</v>
      </c>
      <c r="U48">
        <v>20</v>
      </c>
      <c r="X48">
        <v>10</v>
      </c>
      <c r="Y48">
        <v>525</v>
      </c>
    </row>
    <row r="49" spans="1:25" x14ac:dyDescent="0.25">
      <c r="A49" s="49" t="str">
        <f t="shared" si="1"/>
        <v>C</v>
      </c>
      <c r="B49" s="49">
        <f t="shared" si="2"/>
        <v>0</v>
      </c>
      <c r="C49" s="49">
        <f t="shared" si="4"/>
        <v>0</v>
      </c>
      <c r="D49" s="49" t="str">
        <f t="shared" si="3"/>
        <v>0 0</v>
      </c>
      <c r="M49" t="s">
        <v>20</v>
      </c>
      <c r="O49">
        <v>13816</v>
      </c>
      <c r="P49">
        <v>29581.25</v>
      </c>
      <c r="Q49">
        <v>2700</v>
      </c>
      <c r="R49">
        <v>315</v>
      </c>
      <c r="T49">
        <v>141</v>
      </c>
      <c r="U49">
        <v>50</v>
      </c>
      <c r="W49">
        <v>20.170000000000002</v>
      </c>
      <c r="X49">
        <v>58</v>
      </c>
      <c r="Y49">
        <v>2194</v>
      </c>
    </row>
    <row r="50" spans="1:25" x14ac:dyDescent="0.25">
      <c r="A50" s="49" t="str">
        <f t="shared" si="1"/>
        <v>C</v>
      </c>
      <c r="B50" s="49">
        <f t="shared" si="2"/>
        <v>0</v>
      </c>
      <c r="C50" s="49">
        <f t="shared" si="4"/>
        <v>0</v>
      </c>
      <c r="D50" s="49" t="str">
        <f t="shared" si="3"/>
        <v>0 0</v>
      </c>
    </row>
    <row r="51" spans="1:25" x14ac:dyDescent="0.25">
      <c r="A51" s="49" t="str">
        <f>IF(F51="Shift Code",G51, A50)</f>
        <v>C</v>
      </c>
      <c r="B51" s="49">
        <f t="shared" si="2"/>
        <v>0</v>
      </c>
      <c r="C51" s="49">
        <f t="shared" si="4"/>
        <v>0</v>
      </c>
      <c r="D51" s="49" t="str">
        <f t="shared" si="3"/>
        <v>0 0</v>
      </c>
    </row>
    <row r="52" spans="1:25" x14ac:dyDescent="0.25">
      <c r="A52" s="49" t="str">
        <f t="shared" si="1"/>
        <v>C</v>
      </c>
      <c r="B52" s="49">
        <f t="shared" si="2"/>
        <v>0</v>
      </c>
      <c r="C52" s="49">
        <f t="shared" si="4"/>
        <v>0</v>
      </c>
      <c r="D52" s="49" t="str">
        <f t="shared" si="3"/>
        <v>0 0</v>
      </c>
    </row>
    <row r="53" spans="1:25" x14ac:dyDescent="0.25">
      <c r="A53" s="49" t="str">
        <f t="shared" si="1"/>
        <v>C</v>
      </c>
      <c r="B53" s="49">
        <f t="shared" si="2"/>
        <v>0</v>
      </c>
      <c r="C53" s="49">
        <f t="shared" si="4"/>
        <v>0</v>
      </c>
      <c r="D53" s="49" t="str">
        <f t="shared" si="3"/>
        <v>0 0</v>
      </c>
    </row>
    <row r="54" spans="1:25" x14ac:dyDescent="0.25">
      <c r="A54" s="49" t="str">
        <f t="shared" si="1"/>
        <v>C</v>
      </c>
      <c r="B54" s="49">
        <f t="shared" si="2"/>
        <v>0</v>
      </c>
      <c r="C54" s="49">
        <f t="shared" si="4"/>
        <v>0</v>
      </c>
      <c r="D54" s="49" t="str">
        <f t="shared" si="3"/>
        <v>0 0</v>
      </c>
    </row>
    <row r="55" spans="1:25" x14ac:dyDescent="0.25">
      <c r="A55" s="49" t="str">
        <f t="shared" si="1"/>
        <v>C</v>
      </c>
      <c r="B55" s="49">
        <f t="shared" si="2"/>
        <v>0</v>
      </c>
      <c r="C55" s="49">
        <f t="shared" si="4"/>
        <v>0</v>
      </c>
      <c r="D55" s="49" t="str">
        <f t="shared" si="3"/>
        <v>0 0</v>
      </c>
    </row>
    <row r="56" spans="1:25" x14ac:dyDescent="0.25">
      <c r="A56" s="49" t="str">
        <f t="shared" si="1"/>
        <v>C</v>
      </c>
      <c r="B56" s="49">
        <f t="shared" si="2"/>
        <v>0</v>
      </c>
      <c r="C56" s="49">
        <f t="shared" si="4"/>
        <v>0</v>
      </c>
      <c r="D56" s="49" t="str">
        <f t="shared" si="3"/>
        <v>0 0</v>
      </c>
    </row>
    <row r="57" spans="1:25" x14ac:dyDescent="0.25">
      <c r="A57" s="49" t="str">
        <f t="shared" si="1"/>
        <v>C</v>
      </c>
      <c r="B57" s="49">
        <f t="shared" si="2"/>
        <v>0</v>
      </c>
      <c r="C57" s="49">
        <f t="shared" si="4"/>
        <v>0</v>
      </c>
      <c r="D57" s="49" t="str">
        <f t="shared" si="3"/>
        <v>0 0</v>
      </c>
    </row>
    <row r="58" spans="1:25" x14ac:dyDescent="0.25">
      <c r="A58" s="49" t="str">
        <f t="shared" si="1"/>
        <v>C</v>
      </c>
      <c r="B58" s="49">
        <f t="shared" si="2"/>
        <v>0</v>
      </c>
      <c r="C58" s="49">
        <f t="shared" si="4"/>
        <v>0</v>
      </c>
      <c r="D58" s="49" t="str">
        <f t="shared" si="3"/>
        <v>0 0</v>
      </c>
    </row>
    <row r="59" spans="1:25" x14ac:dyDescent="0.25">
      <c r="A59" s="49" t="str">
        <f t="shared" si="1"/>
        <v>C</v>
      </c>
      <c r="B59" s="49">
        <f t="shared" si="2"/>
        <v>0</v>
      </c>
      <c r="C59" s="49">
        <f t="shared" si="4"/>
        <v>0</v>
      </c>
      <c r="D59" s="49" t="str">
        <f t="shared" si="3"/>
        <v>0 0</v>
      </c>
    </row>
    <row r="60" spans="1:25" x14ac:dyDescent="0.25">
      <c r="A60" s="49" t="str">
        <f t="shared" si="1"/>
        <v>C</v>
      </c>
      <c r="B60" s="49">
        <f t="shared" si="2"/>
        <v>0</v>
      </c>
      <c r="C60" s="49">
        <f t="shared" si="4"/>
        <v>0</v>
      </c>
      <c r="D60" s="49" t="str">
        <f t="shared" si="3"/>
        <v>0 0</v>
      </c>
    </row>
    <row r="61" spans="1:25" x14ac:dyDescent="0.25">
      <c r="A61" s="49" t="str">
        <f t="shared" si="1"/>
        <v>C</v>
      </c>
      <c r="B61" s="49">
        <f t="shared" si="2"/>
        <v>0</v>
      </c>
      <c r="C61" s="49">
        <f t="shared" si="4"/>
        <v>0</v>
      </c>
      <c r="D61" s="49" t="str">
        <f t="shared" si="3"/>
        <v>0 0</v>
      </c>
    </row>
    <row r="62" spans="1:25" x14ac:dyDescent="0.25">
      <c r="A62" s="49" t="str">
        <f t="shared" si="1"/>
        <v>C</v>
      </c>
      <c r="B62" s="49">
        <f t="shared" si="2"/>
        <v>0</v>
      </c>
      <c r="C62" s="49">
        <f t="shared" si="4"/>
        <v>0</v>
      </c>
      <c r="D62" s="49" t="str">
        <f t="shared" si="3"/>
        <v>0 0</v>
      </c>
    </row>
    <row r="63" spans="1:25" x14ac:dyDescent="0.25">
      <c r="A63" s="49" t="str">
        <f t="shared" si="1"/>
        <v>C</v>
      </c>
      <c r="B63" s="49">
        <f t="shared" si="2"/>
        <v>0</v>
      </c>
      <c r="C63" s="49">
        <f t="shared" si="4"/>
        <v>0</v>
      </c>
      <c r="D63" s="49" t="str">
        <f t="shared" si="3"/>
        <v>0 0</v>
      </c>
    </row>
    <row r="64" spans="1:25" x14ac:dyDescent="0.25">
      <c r="A64" s="49" t="str">
        <f t="shared" si="1"/>
        <v>C</v>
      </c>
      <c r="B64" s="49">
        <f t="shared" si="2"/>
        <v>0</v>
      </c>
      <c r="C64" s="49">
        <f t="shared" si="4"/>
        <v>0</v>
      </c>
      <c r="D64" s="49" t="str">
        <f t="shared" si="3"/>
        <v>0 0</v>
      </c>
    </row>
    <row r="65" spans="1:4" x14ac:dyDescent="0.25">
      <c r="A65" s="49" t="str">
        <f t="shared" si="1"/>
        <v>C</v>
      </c>
      <c r="B65" s="49">
        <f t="shared" si="2"/>
        <v>0</v>
      </c>
      <c r="C65" s="49">
        <f t="shared" si="4"/>
        <v>0</v>
      </c>
      <c r="D65" s="49" t="str">
        <f t="shared" si="3"/>
        <v>0 0</v>
      </c>
    </row>
    <row r="66" spans="1:4" x14ac:dyDescent="0.25">
      <c r="A66" s="49" t="str">
        <f t="shared" si="1"/>
        <v>C</v>
      </c>
      <c r="B66" s="49">
        <f t="shared" si="2"/>
        <v>0</v>
      </c>
      <c r="C66" s="49">
        <f t="shared" si="4"/>
        <v>0</v>
      </c>
      <c r="D66" s="49" t="str">
        <f t="shared" si="3"/>
        <v>0 0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7FC56-99EE-4819-8609-B66B3C85DC35}">
  <sheetPr codeName="Sheet2">
    <pageSetUpPr autoPageBreaks="0"/>
  </sheetPr>
  <dimension ref="A1:AF116"/>
  <sheetViews>
    <sheetView workbookViewId="0">
      <pane ySplit="4" topLeftCell="A5" activePane="bottomLeft" state="frozen"/>
      <selection pane="bottomLeft" activeCell="W29" sqref="W29"/>
    </sheetView>
  </sheetViews>
  <sheetFormatPr defaultColWidth="9.140625" defaultRowHeight="15" x14ac:dyDescent="0.25"/>
  <cols>
    <col min="1" max="1" width="2.85546875" style="3" customWidth="1"/>
    <col min="2" max="2" width="6.28515625" style="3" hidden="1" customWidth="1"/>
    <col min="3" max="3" width="9.5703125" style="3" hidden="1" customWidth="1"/>
    <col min="4" max="4" width="11.42578125" style="3" hidden="1" customWidth="1"/>
    <col min="5" max="5" width="10" style="3" customWidth="1"/>
    <col min="6" max="6" width="9.28515625" style="3" customWidth="1"/>
    <col min="7" max="7" width="30" style="3" customWidth="1"/>
    <col min="8" max="8" width="7" style="3" bestFit="1" customWidth="1"/>
    <col min="9" max="9" width="10.7109375" style="3" bestFit="1" customWidth="1"/>
    <col min="10" max="11" width="6.42578125" style="3" customWidth="1"/>
    <col min="12" max="13" width="10" style="3" customWidth="1"/>
    <col min="14" max="15" width="9.28515625" style="3" customWidth="1"/>
    <col min="16" max="19" width="7.140625" style="3" customWidth="1"/>
    <col min="20" max="20" width="8.5703125" style="3" customWidth="1"/>
    <col min="21" max="23" width="10" style="3" customWidth="1"/>
    <col min="24" max="24" width="7.140625" style="3" customWidth="1"/>
    <col min="25" max="26" width="10" style="3" customWidth="1"/>
    <col min="27" max="27" width="7.85546875" style="3" customWidth="1"/>
    <col min="28" max="31" width="10.7109375" style="3" hidden="1" customWidth="1"/>
    <col min="32" max="32" width="2.85546875" style="3" customWidth="1"/>
    <col min="33" max="16384" width="9.140625" style="3"/>
  </cols>
  <sheetData>
    <row r="1" spans="1:32" ht="15" customHeight="1" x14ac:dyDescent="0.25">
      <c r="A1" s="1"/>
      <c r="B1" s="1"/>
      <c r="C1" s="1"/>
      <c r="D1" s="1"/>
      <c r="E1" s="70" t="s">
        <v>0</v>
      </c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45"/>
      <c r="AF1" s="1"/>
    </row>
    <row r="2" spans="1:32" ht="15" customHeight="1" x14ac:dyDescent="0.25">
      <c r="A2" s="1"/>
      <c r="B2" s="1"/>
      <c r="C2" s="1"/>
      <c r="D2" s="1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45"/>
      <c r="AF2" s="1"/>
    </row>
    <row r="3" spans="1:32" x14ac:dyDescent="0.25">
      <c r="A3" s="1"/>
      <c r="B3" s="1"/>
      <c r="C3" s="1"/>
      <c r="D3" s="1"/>
      <c r="E3" s="71">
        <f>Original!G4</f>
        <v>44901</v>
      </c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57"/>
      <c r="AF3" s="1"/>
    </row>
    <row r="4" spans="1:32" s="4" customFormat="1" ht="45" x14ac:dyDescent="0.25">
      <c r="A4" s="2"/>
      <c r="B4" s="24" t="s">
        <v>73</v>
      </c>
      <c r="C4" s="24" t="s">
        <v>71</v>
      </c>
      <c r="D4" s="24" t="s">
        <v>72</v>
      </c>
      <c r="E4" s="24" t="s">
        <v>1</v>
      </c>
      <c r="F4" s="24" t="s">
        <v>2</v>
      </c>
      <c r="G4" s="24" t="s">
        <v>3</v>
      </c>
      <c r="H4" s="24" t="s">
        <v>4</v>
      </c>
      <c r="I4" s="24" t="s">
        <v>38</v>
      </c>
      <c r="J4" s="24" t="s">
        <v>6</v>
      </c>
      <c r="K4" s="24" t="s">
        <v>7</v>
      </c>
      <c r="L4" s="24" t="s">
        <v>11</v>
      </c>
      <c r="M4" s="24" t="s">
        <v>12</v>
      </c>
      <c r="N4" s="24" t="s">
        <v>13</v>
      </c>
      <c r="O4" s="24" t="s">
        <v>14</v>
      </c>
      <c r="P4" s="24" t="s">
        <v>8</v>
      </c>
      <c r="Q4" s="24" t="s">
        <v>39</v>
      </c>
      <c r="R4" s="24" t="s">
        <v>40</v>
      </c>
      <c r="S4" s="25" t="s">
        <v>5</v>
      </c>
      <c r="T4" s="24" t="s">
        <v>51</v>
      </c>
      <c r="U4" s="24" t="s">
        <v>15</v>
      </c>
      <c r="V4" s="24" t="s">
        <v>41</v>
      </c>
      <c r="W4" s="24" t="s">
        <v>16</v>
      </c>
      <c r="X4" s="24" t="s">
        <v>9</v>
      </c>
      <c r="Y4" s="24" t="s">
        <v>17</v>
      </c>
      <c r="Z4" s="24" t="s">
        <v>18</v>
      </c>
      <c r="AA4" s="24" t="s">
        <v>10</v>
      </c>
      <c r="AB4" s="24" t="s">
        <v>52</v>
      </c>
      <c r="AC4" s="24" t="s">
        <v>53</v>
      </c>
      <c r="AD4" s="24" t="s">
        <v>54</v>
      </c>
      <c r="AE4" s="24"/>
      <c r="AF4" s="2"/>
    </row>
    <row r="5" spans="1:32" x14ac:dyDescent="0.25">
      <c r="A5" s="1"/>
      <c r="B5" s="32"/>
      <c r="C5" s="32"/>
      <c r="D5" s="32"/>
      <c r="E5" s="9" t="s">
        <v>35</v>
      </c>
      <c r="F5" s="33" t="s">
        <v>43</v>
      </c>
      <c r="G5" s="51">
        <v>0</v>
      </c>
      <c r="H5" s="51">
        <v>0</v>
      </c>
      <c r="I5" s="51">
        <v>0</v>
      </c>
      <c r="J5" s="51">
        <v>0</v>
      </c>
      <c r="K5" s="51">
        <v>0</v>
      </c>
      <c r="L5" s="51">
        <v>0</v>
      </c>
      <c r="M5" s="51">
        <v>0</v>
      </c>
      <c r="N5" s="51">
        <v>0</v>
      </c>
      <c r="O5" s="51">
        <v>0</v>
      </c>
      <c r="P5" s="51">
        <v>0</v>
      </c>
      <c r="Q5" s="51">
        <v>0</v>
      </c>
      <c r="R5" s="51">
        <v>0</v>
      </c>
      <c r="S5" s="51">
        <v>0</v>
      </c>
      <c r="T5" s="51">
        <v>0</v>
      </c>
      <c r="U5" s="51">
        <v>0</v>
      </c>
      <c r="V5" s="51">
        <v>0</v>
      </c>
      <c r="W5" s="51">
        <v>0</v>
      </c>
      <c r="X5" s="51">
        <v>0</v>
      </c>
      <c r="Y5" s="51">
        <v>0</v>
      </c>
      <c r="Z5" s="51">
        <v>0</v>
      </c>
      <c r="AA5" s="52">
        <v>0</v>
      </c>
      <c r="AB5" s="10"/>
      <c r="AC5" s="10"/>
      <c r="AD5" s="11"/>
      <c r="AE5" s="11" t="str">
        <f>IF(OR(F5="",H5="DNR"), "TRUE", "FALSE")</f>
        <v>FALSE</v>
      </c>
      <c r="AF5" s="1"/>
    </row>
    <row r="6" spans="1:32" x14ac:dyDescent="0.25">
      <c r="A6" s="1"/>
      <c r="B6" s="14"/>
      <c r="C6" s="14"/>
      <c r="D6" s="14"/>
      <c r="E6" s="14" t="s">
        <v>22</v>
      </c>
      <c r="F6" s="15" t="s">
        <v>21</v>
      </c>
      <c r="G6" s="16" t="s">
        <v>37</v>
      </c>
      <c r="H6" s="54">
        <f>IF(H7="","DNR",0)</f>
        <v>0</v>
      </c>
      <c r="I6" s="53">
        <v>0</v>
      </c>
      <c r="J6" s="54">
        <v>0</v>
      </c>
      <c r="K6" s="54">
        <v>0</v>
      </c>
      <c r="L6" s="54">
        <v>0</v>
      </c>
      <c r="M6" s="54">
        <v>0</v>
      </c>
      <c r="N6" s="54">
        <f>IF(F7="","DNR",0)</f>
        <v>0</v>
      </c>
      <c r="O6" s="54">
        <v>0</v>
      </c>
      <c r="P6" s="54">
        <v>0</v>
      </c>
      <c r="Q6" s="54">
        <v>0</v>
      </c>
      <c r="R6" s="54">
        <v>0</v>
      </c>
      <c r="S6" s="54">
        <v>0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5">
        <v>0</v>
      </c>
      <c r="AB6" s="16"/>
      <c r="AC6" s="16"/>
      <c r="AD6" s="17"/>
      <c r="AE6" s="17" t="str">
        <f t="shared" ref="AE6:AE74" si="0">IF(OR(F6="",H6="DNR"), "TRUE", "FALSE")</f>
        <v>FALSE</v>
      </c>
      <c r="AF6" s="1"/>
    </row>
    <row r="7" spans="1:32" x14ac:dyDescent="0.25">
      <c r="A7" s="1"/>
      <c r="B7" s="5">
        <v>1</v>
      </c>
      <c r="C7" s="5" t="str">
        <f>$F$5&amp;E7</f>
        <v>B        FS01</v>
      </c>
      <c r="D7" s="5" t="str">
        <f>$F$5&amp;E7&amp;" "&amp;B7</f>
        <v>B        FS01 1</v>
      </c>
      <c r="E7" s="5" t="str">
        <f>F6</f>
        <v xml:space="preserve">        FS01</v>
      </c>
      <c r="F7" s="5">
        <f>IFERROR(VLOOKUP($D7,Original!$D:$AE,4,0),"")</f>
        <v>30008035</v>
      </c>
      <c r="G7" s="5" t="str">
        <f>IFERROR(VLOOKUP($D7,Original!$D:$AE,5,0),"")</f>
        <v>SEAG GIN 80P 12/750 ND US</v>
      </c>
      <c r="H7" s="5">
        <f>IFERROR(VLOOKUP($D7,Original!$D:$AE,6,0),"")</f>
        <v>408915</v>
      </c>
      <c r="I7" s="6">
        <f>IFERROR(VLOOKUP($D7,Original!$D:$AE,7,0),"")</f>
        <v>44901</v>
      </c>
      <c r="J7" s="7">
        <f>IFERROR(VLOOKUP($D7,Original!$D:$AE,8,0),"")</f>
        <v>0.14583333333333334</v>
      </c>
      <c r="K7" s="7">
        <f>IFERROR(VLOOKUP($D7,Original!$D:$AE,9,0),"")</f>
        <v>0.64583333333333337</v>
      </c>
      <c r="L7" s="8">
        <f>IFERROR(VLOOKUP($D7,Original!$D:$AE,10,0),"")</f>
        <v>8</v>
      </c>
      <c r="M7" s="8">
        <f>IFERROR(VLOOKUP($D7,Original!$D:$AE,11,0),"")</f>
        <v>12</v>
      </c>
      <c r="N7" s="64">
        <f>IFERROR(VLOOKUP($D7,Original!$D:$AE,12,0),"")</f>
        <v>3920</v>
      </c>
      <c r="O7" s="64">
        <f>IFERROR(VLOOKUP($D7,Original!$D:$AE,13,0),"")</f>
        <v>7975</v>
      </c>
      <c r="P7" s="64">
        <f>IFERROR(VLOOKUP($D7,Original!$D:$AE,14,0),"")</f>
        <v>720</v>
      </c>
      <c r="Q7" s="64">
        <f>IFERROR(VLOOKUP($D7,Original!$D:$AE,15,0),"")</f>
        <v>100</v>
      </c>
      <c r="R7" s="64">
        <f>IFERROR(VLOOKUP($D7,Original!$D:$AE,16,0),"")</f>
        <v>20</v>
      </c>
      <c r="S7" s="64">
        <f>IFERROR(VLOOKUP($D7,Original!$D:$AE,17,0),"")</f>
        <v>0</v>
      </c>
      <c r="T7" s="64">
        <f>IFERROR(VLOOKUP($D7,Original!$D:$AE,18,0),"")</f>
        <v>20</v>
      </c>
      <c r="U7" s="64">
        <f>IFERROR(VLOOKUP($D7,Original!$D:$AE,19,0),"")</f>
        <v>0</v>
      </c>
      <c r="V7" s="64">
        <f>IFERROR(VLOOKUP($D7,Original!$D:$AE,20,0),"")</f>
        <v>0</v>
      </c>
      <c r="W7" s="64">
        <f>IFERROR(VLOOKUP($D7,Original!$D:$AE,21,0),"")</f>
        <v>10</v>
      </c>
      <c r="X7" s="64">
        <f>IFERROR(VLOOKUP($D7,Original!$D:$AE,22,0),"")</f>
        <v>580</v>
      </c>
      <c r="Y7" s="65">
        <f>IFERROR(VLOOKUP($D7,Original!$D:$AE,23,0),"")</f>
        <v>165</v>
      </c>
      <c r="Z7" s="8" t="str">
        <f>IFERROR(VLOOKUP($D7,Original!$D:$AE,124,0),"")</f>
        <v/>
      </c>
      <c r="AA7" s="8">
        <f>IFERROR(VLOOKUP($D7,Original!$D:$AE,25,0),"")</f>
        <v>49.15</v>
      </c>
      <c r="AB7" s="23"/>
      <c r="AC7" s="8"/>
      <c r="AD7" s="8"/>
      <c r="AE7" s="8" t="str">
        <f t="shared" si="0"/>
        <v>FALSE</v>
      </c>
      <c r="AF7" s="1"/>
    </row>
    <row r="8" spans="1:32" x14ac:dyDescent="0.25">
      <c r="A8" s="1"/>
      <c r="B8" s="5">
        <v>2</v>
      </c>
      <c r="C8" s="5" t="str">
        <f t="shared" ref="C8:C9" si="1">$F$5&amp;E8</f>
        <v>B        FS01</v>
      </c>
      <c r="D8" s="5" t="str">
        <f t="shared" ref="D8:D9" si="2">$F$5&amp;E8&amp;" "&amp;B8</f>
        <v>B        FS01 2</v>
      </c>
      <c r="E8" s="5" t="str">
        <f>F6</f>
        <v xml:space="preserve">        FS01</v>
      </c>
      <c r="F8" s="5" t="str">
        <f>IFERROR(VLOOKUP($D8,Original!$D:$AE,4,0),"")</f>
        <v/>
      </c>
      <c r="G8" s="5" t="str">
        <f>IFERROR(VLOOKUP($D8,Original!$D:$AE,5,0),"")</f>
        <v/>
      </c>
      <c r="H8" s="5" t="str">
        <f>IFERROR(VLOOKUP($D8,Original!$D:$AE,6,0),"")</f>
        <v/>
      </c>
      <c r="I8" s="6" t="str">
        <f>IFERROR(VLOOKUP($D8,Original!$D:$AE,7,0),"")</f>
        <v/>
      </c>
      <c r="J8" s="7" t="str">
        <f>IFERROR(VLOOKUP($D8,Original!$D:$AE,8,0),"")</f>
        <v/>
      </c>
      <c r="K8" s="7" t="str">
        <f>IFERROR(VLOOKUP($D8,Original!$D:$AE,9,0),"")</f>
        <v/>
      </c>
      <c r="L8" s="8" t="str">
        <f>IFERROR(VLOOKUP($D8,Original!$D:$AE,10,0),"")</f>
        <v/>
      </c>
      <c r="M8" s="8" t="str">
        <f>IFERROR(VLOOKUP($D8,Original!$D:$AE,11,0),"")</f>
        <v/>
      </c>
      <c r="N8" s="64" t="str">
        <f>IFERROR(VLOOKUP($D8,Original!$D:$AE,12,0),"")</f>
        <v/>
      </c>
      <c r="O8" s="64" t="str">
        <f>IFERROR(VLOOKUP($D8,Original!$D:$AE,13,0),"")</f>
        <v/>
      </c>
      <c r="P8" s="64" t="str">
        <f>IFERROR(VLOOKUP($D8,Original!$D:$AE,14,0),"")</f>
        <v/>
      </c>
      <c r="Q8" s="64" t="str">
        <f>IFERROR(VLOOKUP($D8,Original!$D:$AE,15,0),"")</f>
        <v/>
      </c>
      <c r="R8" s="64" t="str">
        <f>IFERROR(VLOOKUP($D8,Original!$D:$AE,16,0),"")</f>
        <v/>
      </c>
      <c r="S8" s="64" t="str">
        <f>IFERROR(VLOOKUP($D8,Original!$D:$AE,17,0),"")</f>
        <v/>
      </c>
      <c r="T8" s="64" t="str">
        <f>IFERROR(VLOOKUP($D8,Original!$D:$AE,18,0),"")</f>
        <v/>
      </c>
      <c r="U8" s="64" t="str">
        <f>IFERROR(VLOOKUP($D8,Original!$D:$AE,19,0),"")</f>
        <v/>
      </c>
      <c r="V8" s="64" t="str">
        <f>IFERROR(VLOOKUP($D8,Original!$D:$AE,20,0),"")</f>
        <v/>
      </c>
      <c r="W8" s="64" t="str">
        <f>IFERROR(VLOOKUP($D8,Original!$D:$AE,21,0),"")</f>
        <v/>
      </c>
      <c r="X8" s="64" t="str">
        <f>IFERROR(VLOOKUP($D8,Original!$D:$AE,22,0),"")</f>
        <v/>
      </c>
      <c r="Y8" s="65" t="str">
        <f>IFERROR(VLOOKUP($D8,Original!$D:$AE,23,0),"")</f>
        <v/>
      </c>
      <c r="Z8" s="8" t="str">
        <f>IFERROR(VLOOKUP($D8,Original!$D:$AE,124,0),"")</f>
        <v/>
      </c>
      <c r="AA8" s="8" t="str">
        <f>IFERROR(VLOOKUP($D8,Original!$D:$AE,25,0),"")</f>
        <v/>
      </c>
      <c r="AB8" s="23"/>
      <c r="AC8" s="8"/>
      <c r="AD8" s="8"/>
      <c r="AE8" s="8" t="str">
        <f t="shared" si="0"/>
        <v>TRUE</v>
      </c>
      <c r="AF8" s="1"/>
    </row>
    <row r="9" spans="1:32" x14ac:dyDescent="0.25">
      <c r="A9" s="1"/>
      <c r="B9" s="5">
        <v>3</v>
      </c>
      <c r="C9" s="5" t="str">
        <f t="shared" si="1"/>
        <v>B        FS01</v>
      </c>
      <c r="D9" s="5" t="str">
        <f t="shared" si="2"/>
        <v>B        FS01 3</v>
      </c>
      <c r="E9" s="5" t="str">
        <f>F6</f>
        <v xml:space="preserve">        FS01</v>
      </c>
      <c r="F9" s="5" t="str">
        <f>IFERROR(VLOOKUP($D9,Original!$D:$AE,4,0),"")</f>
        <v/>
      </c>
      <c r="G9" s="5" t="str">
        <f>IFERROR(VLOOKUP($D9,Original!$D:$AE,5,0),"")</f>
        <v/>
      </c>
      <c r="H9" s="5" t="str">
        <f>IFERROR(VLOOKUP($D9,Original!$D:$AE,6,0),"")</f>
        <v/>
      </c>
      <c r="I9" s="6" t="str">
        <f>IFERROR(VLOOKUP($D9,Original!$D:$AE,7,0),"")</f>
        <v/>
      </c>
      <c r="J9" s="7" t="str">
        <f>IFERROR(VLOOKUP($D9,Original!$D:$AE,8,0),"")</f>
        <v/>
      </c>
      <c r="K9" s="7" t="str">
        <f>IFERROR(VLOOKUP($D9,Original!$D:$AE,9,0),"")</f>
        <v/>
      </c>
      <c r="L9" s="8" t="str">
        <f>IFERROR(VLOOKUP($D9,Original!$D:$AE,10,0),"")</f>
        <v/>
      </c>
      <c r="M9" s="8" t="str">
        <f>IFERROR(VLOOKUP($D9,Original!$D:$AE,11,0),"")</f>
        <v/>
      </c>
      <c r="N9" s="64" t="str">
        <f>IFERROR(VLOOKUP($D9,Original!$D:$AE,12,0),"")</f>
        <v/>
      </c>
      <c r="O9" s="64" t="str">
        <f>IFERROR(VLOOKUP($D9,Original!$D:$AE,13,0),"")</f>
        <v/>
      </c>
      <c r="P9" s="64" t="str">
        <f>IFERROR(VLOOKUP($D9,Original!$D:$AE,14,0),"")</f>
        <v/>
      </c>
      <c r="Q9" s="64" t="str">
        <f>IFERROR(VLOOKUP($D9,Original!$D:$AE,15,0),"")</f>
        <v/>
      </c>
      <c r="R9" s="64" t="str">
        <f>IFERROR(VLOOKUP($D9,Original!$D:$AE,16,0),"")</f>
        <v/>
      </c>
      <c r="S9" s="64" t="str">
        <f>IFERROR(VLOOKUP($D9,Original!$D:$AE,17,0),"")</f>
        <v/>
      </c>
      <c r="T9" s="64" t="str">
        <f>IFERROR(VLOOKUP($D9,Original!$D:$AE,18,0),"")</f>
        <v/>
      </c>
      <c r="U9" s="64" t="str">
        <f>IFERROR(VLOOKUP($D9,Original!$D:$AE,19,0),"")</f>
        <v/>
      </c>
      <c r="V9" s="64" t="str">
        <f>IFERROR(VLOOKUP($D9,Original!$D:$AE,20,0),"")</f>
        <v/>
      </c>
      <c r="W9" s="64" t="str">
        <f>IFERROR(VLOOKUP($D9,Original!$D:$AE,21,0),"")</f>
        <v/>
      </c>
      <c r="X9" s="64" t="str">
        <f>IFERROR(VLOOKUP($D9,Original!$D:$AE,22,0),"")</f>
        <v/>
      </c>
      <c r="Y9" s="65" t="str">
        <f>IFERROR(VLOOKUP($D9,Original!$D:$AE,23,0),"")</f>
        <v/>
      </c>
      <c r="Z9" s="8" t="str">
        <f>IFERROR(VLOOKUP($D9,Original!$D:$AE,124,0),"")</f>
        <v/>
      </c>
      <c r="AA9" s="8" t="str">
        <f>IFERROR(VLOOKUP($D9,Original!$D:$AE,25,0),"")</f>
        <v/>
      </c>
      <c r="AB9" s="23"/>
      <c r="AC9" s="8"/>
      <c r="AD9" s="8"/>
      <c r="AE9" s="8" t="str">
        <f t="shared" si="0"/>
        <v>TRUE</v>
      </c>
      <c r="AF9" s="1"/>
    </row>
    <row r="10" spans="1:32" x14ac:dyDescent="0.25">
      <c r="A10" s="1"/>
      <c r="B10" s="12"/>
      <c r="C10" s="12"/>
      <c r="D10" s="12"/>
      <c r="E10" s="12"/>
      <c r="F10" s="62">
        <f>IF(F7="","",0)</f>
        <v>0</v>
      </c>
      <c r="G10" s="13"/>
      <c r="H10" s="34" t="str">
        <f>$F$5</f>
        <v>B</v>
      </c>
      <c r="I10" s="34" t="str">
        <f>$F$5&amp;J10</f>
        <v>B        FS01</v>
      </c>
      <c r="J10" s="67" t="str">
        <f>F6</f>
        <v xml:space="preserve">        FS01</v>
      </c>
      <c r="K10" s="67"/>
      <c r="L10" s="67" t="s">
        <v>19</v>
      </c>
      <c r="M10" s="68"/>
      <c r="N10" s="42">
        <f>SUMIF($C:$C,$I10,N:N)</f>
        <v>3920</v>
      </c>
      <c r="O10" s="42">
        <f>SUMIF($C:$C,$I10,O:O)</f>
        <v>7975</v>
      </c>
      <c r="P10" s="42">
        <f>SUMIF($C:$C,$I10,P:P)</f>
        <v>720</v>
      </c>
      <c r="Q10" s="42">
        <f>SUMIF($C:$C,$I10,Q:Q)</f>
        <v>100</v>
      </c>
      <c r="R10" s="42">
        <f>SUMIF($C:$C,$I10,R:R)</f>
        <v>20</v>
      </c>
      <c r="S10" s="42">
        <f>SUMIF($C:$C,$I10,S:S)</f>
        <v>0</v>
      </c>
      <c r="T10" s="42">
        <f>SUMIF($C:$C,$I10,T:T)</f>
        <v>20</v>
      </c>
      <c r="U10" s="42"/>
      <c r="V10" s="42">
        <f>SUMIF($C:$C,$I10,V:V)</f>
        <v>0</v>
      </c>
      <c r="W10" s="42">
        <f>SUMIF($C:$C,$I10,W:W)</f>
        <v>10</v>
      </c>
      <c r="X10" s="42">
        <f>SUMIF($C:$C,$I10,X:X)</f>
        <v>580</v>
      </c>
      <c r="Y10" s="26"/>
      <c r="Z10" s="26"/>
      <c r="AA10" s="27">
        <f>N10/O10*100</f>
        <v>49.153605015673982</v>
      </c>
      <c r="AB10" s="37"/>
      <c r="AC10" s="27"/>
      <c r="AD10" s="27"/>
      <c r="AE10" s="27" t="str">
        <f>IF(OR(F10="",H10="DNR"), "TRUE", "FALSE")</f>
        <v>FALSE</v>
      </c>
      <c r="AF10" s="1"/>
    </row>
    <row r="11" spans="1:32" x14ac:dyDescent="0.25">
      <c r="A11" s="1"/>
      <c r="B11" s="14"/>
      <c r="C11" s="14"/>
      <c r="D11" s="14"/>
      <c r="E11" s="14" t="s">
        <v>22</v>
      </c>
      <c r="F11" s="15" t="s">
        <v>23</v>
      </c>
      <c r="G11" s="16" t="s">
        <v>24</v>
      </c>
      <c r="H11" s="54">
        <f>IF(H12="","DNR",0)</f>
        <v>0</v>
      </c>
      <c r="I11" s="53">
        <v>0</v>
      </c>
      <c r="J11" s="54">
        <v>0</v>
      </c>
      <c r="K11" s="54">
        <v>0</v>
      </c>
      <c r="L11" s="54">
        <v>0</v>
      </c>
      <c r="M11" s="54">
        <v>0</v>
      </c>
      <c r="N11" s="54">
        <f>IF(F12="","DNR",0)</f>
        <v>0</v>
      </c>
      <c r="O11" s="54">
        <v>0</v>
      </c>
      <c r="P11" s="54">
        <v>0</v>
      </c>
      <c r="Q11" s="54">
        <v>0</v>
      </c>
      <c r="R11" s="54">
        <v>0</v>
      </c>
      <c r="S11" s="54">
        <v>0</v>
      </c>
      <c r="T11" s="54">
        <v>0</v>
      </c>
      <c r="U11" s="54">
        <v>0</v>
      </c>
      <c r="V11" s="54">
        <v>0</v>
      </c>
      <c r="W11" s="54">
        <v>0</v>
      </c>
      <c r="X11" s="54">
        <v>0</v>
      </c>
      <c r="Y11" s="54">
        <v>0</v>
      </c>
      <c r="Z11" s="54">
        <v>0</v>
      </c>
      <c r="AA11" s="55">
        <v>0</v>
      </c>
      <c r="AB11" s="17"/>
      <c r="AC11" s="17"/>
      <c r="AD11" s="17"/>
      <c r="AE11" s="17" t="str">
        <f t="shared" si="0"/>
        <v>FALSE</v>
      </c>
      <c r="AF11" s="1"/>
    </row>
    <row r="12" spans="1:32" x14ac:dyDescent="0.25">
      <c r="A12" s="1"/>
      <c r="B12" s="5">
        <v>1</v>
      </c>
      <c r="C12" s="5" t="str">
        <f t="shared" ref="C12:C14" si="3">$F$5&amp;E12</f>
        <v>B        FS03</v>
      </c>
      <c r="D12" s="5" t="str">
        <f>$F$5&amp;E12&amp;" "&amp;B12</f>
        <v>B        FS03 1</v>
      </c>
      <c r="E12" s="5" t="str">
        <f>F11</f>
        <v xml:space="preserve">        FS03</v>
      </c>
      <c r="F12" s="5">
        <f>IFERROR(VLOOKUP($D12,Original!$D:$AE,4,0),"")</f>
        <v>96700026</v>
      </c>
      <c r="G12" s="5" t="str">
        <f>IFERROR(VLOOKUP($D12,Original!$D:$AE,5,0),"")</f>
        <v>SV EXS80 120/50PT CP</v>
      </c>
      <c r="H12" s="5">
        <f>IFERROR(VLOOKUP($D12,Original!$D:$AE,6,0),"")</f>
        <v>408959</v>
      </c>
      <c r="I12" s="6">
        <f>IFERROR(VLOOKUP($D12,Original!$D:$AE,7,0),"")</f>
        <v>44901</v>
      </c>
      <c r="J12" s="7">
        <f>IFERROR(VLOOKUP($D12,Original!$D:$AE,8,0),"")</f>
        <v>0.14583333333333334</v>
      </c>
      <c r="K12" s="7">
        <f>IFERROR(VLOOKUP($D12,Original!$D:$AE,9,0),"")</f>
        <v>0.64583333333333337</v>
      </c>
      <c r="L12" s="8">
        <f>IFERROR(VLOOKUP($D12,Original!$D:$AE,10,0),"")</f>
        <v>9</v>
      </c>
      <c r="M12" s="8">
        <f>IFERROR(VLOOKUP($D12,Original!$D:$AE,11,0),"")</f>
        <v>12</v>
      </c>
      <c r="N12" s="64">
        <f>IFERROR(VLOOKUP($D12,Original!$D:$AE,12,0),"")</f>
        <v>486</v>
      </c>
      <c r="O12" s="64">
        <f>IFERROR(VLOOKUP($D12,Original!$D:$AE,13,0),"")</f>
        <v>1915.83</v>
      </c>
      <c r="P12" s="64">
        <f>IFERROR(VLOOKUP($D12,Original!$D:$AE,14,0),"")</f>
        <v>720</v>
      </c>
      <c r="Q12" s="64">
        <f>IFERROR(VLOOKUP($D12,Original!$D:$AE,15,0),"")</f>
        <v>105</v>
      </c>
      <c r="R12" s="64">
        <f>IFERROR(VLOOKUP($D12,Original!$D:$AE,16,0),"")</f>
        <v>0</v>
      </c>
      <c r="S12" s="64">
        <f>IFERROR(VLOOKUP($D12,Original!$D:$AE,17,0),"")</f>
        <v>0</v>
      </c>
      <c r="T12" s="64">
        <f>IFERROR(VLOOKUP($D12,Original!$D:$AE,18,0),"")</f>
        <v>10</v>
      </c>
      <c r="U12" s="64">
        <f>IFERROR(VLOOKUP($D12,Original!$D:$AE,19,0),"")</f>
        <v>0</v>
      </c>
      <c r="V12" s="64">
        <f>IFERROR(VLOOKUP($D12,Original!$D:$AE,20,0),"")</f>
        <v>0</v>
      </c>
      <c r="W12" s="64">
        <f>IFERROR(VLOOKUP($D12,Original!$D:$AE,21,0),"")</f>
        <v>10</v>
      </c>
      <c r="X12" s="64">
        <f>IFERROR(VLOOKUP($D12,Original!$D:$AE,22,0),"")</f>
        <v>605</v>
      </c>
      <c r="Y12" s="65">
        <f>IFERROR(VLOOKUP($D12,Original!$D:$AE,23,0),"")</f>
        <v>380</v>
      </c>
      <c r="Z12" s="8" t="str">
        <f>IFERROR(VLOOKUP($D12,Original!$D:$AE,124,0),"")</f>
        <v/>
      </c>
      <c r="AA12" s="8">
        <f>IFERROR(VLOOKUP($D12,Original!$D:$AE,25,0),"")</f>
        <v>25.37</v>
      </c>
      <c r="AB12" s="23"/>
      <c r="AC12" s="8"/>
      <c r="AD12" s="8"/>
      <c r="AE12" s="8" t="str">
        <f t="shared" si="0"/>
        <v>FALSE</v>
      </c>
      <c r="AF12" s="1"/>
    </row>
    <row r="13" spans="1:32" x14ac:dyDescent="0.25">
      <c r="A13" s="1"/>
      <c r="B13" s="5">
        <v>2</v>
      </c>
      <c r="C13" s="5" t="str">
        <f t="shared" si="3"/>
        <v>B        FS03</v>
      </c>
      <c r="D13" s="5" t="str">
        <f t="shared" ref="D13:D14" si="4">$F$5&amp;E13&amp;" "&amp;B13</f>
        <v>B        FS03 2</v>
      </c>
      <c r="E13" s="5" t="str">
        <f>F11</f>
        <v xml:space="preserve">        FS03</v>
      </c>
      <c r="F13" s="5" t="str">
        <f>IFERROR(VLOOKUP($D13,Original!$D:$AE,4,0),"")</f>
        <v/>
      </c>
      <c r="G13" s="5" t="str">
        <f>IFERROR(VLOOKUP($D13,Original!$D:$AE,5,0),"")</f>
        <v/>
      </c>
      <c r="H13" s="5" t="str">
        <f>IFERROR(VLOOKUP($D13,Original!$D:$AE,6,0),"")</f>
        <v/>
      </c>
      <c r="I13" s="6" t="str">
        <f>IFERROR(VLOOKUP($D13,Original!$D:$AE,7,0),"")</f>
        <v/>
      </c>
      <c r="J13" s="7" t="str">
        <f>IFERROR(VLOOKUP($D13,Original!$D:$AE,8,0),"")</f>
        <v/>
      </c>
      <c r="K13" s="7" t="str">
        <f>IFERROR(VLOOKUP($D13,Original!$D:$AE,9,0),"")</f>
        <v/>
      </c>
      <c r="L13" s="8" t="str">
        <f>IFERROR(VLOOKUP($D13,Original!$D:$AE,10,0),"")</f>
        <v/>
      </c>
      <c r="M13" s="8" t="str">
        <f>IFERROR(VLOOKUP($D13,Original!$D:$AE,11,0),"")</f>
        <v/>
      </c>
      <c r="N13" s="64" t="str">
        <f>IFERROR(VLOOKUP($D13,Original!$D:$AE,12,0),"")</f>
        <v/>
      </c>
      <c r="O13" s="64" t="str">
        <f>IFERROR(VLOOKUP($D13,Original!$D:$AE,13,0),"")</f>
        <v/>
      </c>
      <c r="P13" s="64" t="str">
        <f>IFERROR(VLOOKUP($D13,Original!$D:$AE,14,0),"")</f>
        <v/>
      </c>
      <c r="Q13" s="64" t="str">
        <f>IFERROR(VLOOKUP($D13,Original!$D:$AE,15,0),"")</f>
        <v/>
      </c>
      <c r="R13" s="64" t="str">
        <f>IFERROR(VLOOKUP($D13,Original!$D:$AE,16,0),"")</f>
        <v/>
      </c>
      <c r="S13" s="64" t="str">
        <f>IFERROR(VLOOKUP($D13,Original!$D:$AE,17,0),"")</f>
        <v/>
      </c>
      <c r="T13" s="64" t="str">
        <f>IFERROR(VLOOKUP($D13,Original!$D:$AE,18,0),"")</f>
        <v/>
      </c>
      <c r="U13" s="64" t="str">
        <f>IFERROR(VLOOKUP($D13,Original!$D:$AE,19,0),"")</f>
        <v/>
      </c>
      <c r="V13" s="64" t="str">
        <f>IFERROR(VLOOKUP($D13,Original!$D:$AE,20,0),"")</f>
        <v/>
      </c>
      <c r="W13" s="64" t="str">
        <f>IFERROR(VLOOKUP($D13,Original!$D:$AE,21,0),"")</f>
        <v/>
      </c>
      <c r="X13" s="64" t="str">
        <f>IFERROR(VLOOKUP($D13,Original!$D:$AE,22,0),"")</f>
        <v/>
      </c>
      <c r="Y13" s="65" t="str">
        <f>IFERROR(VLOOKUP($D13,Original!$D:$AE,23,0),"")</f>
        <v/>
      </c>
      <c r="Z13" s="8" t="str">
        <f>IFERROR(VLOOKUP($D13,Original!$D:$AE,124,0),"")</f>
        <v/>
      </c>
      <c r="AA13" s="8" t="str">
        <f>IFERROR(VLOOKUP($D13,Original!$D:$AE,25,0),"")</f>
        <v/>
      </c>
      <c r="AB13" s="23"/>
      <c r="AC13" s="8"/>
      <c r="AD13" s="8"/>
      <c r="AE13" s="8" t="str">
        <f t="shared" si="0"/>
        <v>TRUE</v>
      </c>
      <c r="AF13" s="1"/>
    </row>
    <row r="14" spans="1:32" x14ac:dyDescent="0.25">
      <c r="A14" s="1"/>
      <c r="B14" s="5">
        <v>3</v>
      </c>
      <c r="C14" s="5" t="str">
        <f t="shared" si="3"/>
        <v>B        FS03</v>
      </c>
      <c r="D14" s="5" t="str">
        <f t="shared" si="4"/>
        <v>B        FS03 3</v>
      </c>
      <c r="E14" s="5" t="str">
        <f>F11</f>
        <v xml:space="preserve">        FS03</v>
      </c>
      <c r="F14" s="5" t="str">
        <f>IFERROR(VLOOKUP($D14,Original!$D:$AE,4,0),"")</f>
        <v/>
      </c>
      <c r="G14" s="5" t="str">
        <f>IFERROR(VLOOKUP($D14,Original!$D:$AE,5,0),"")</f>
        <v/>
      </c>
      <c r="H14" s="5" t="str">
        <f>IFERROR(VLOOKUP($D14,Original!$D:$AE,6,0),"")</f>
        <v/>
      </c>
      <c r="I14" s="6" t="str">
        <f>IFERROR(VLOOKUP($D14,Original!$D:$AE,7,0),"")</f>
        <v/>
      </c>
      <c r="J14" s="7" t="str">
        <f>IFERROR(VLOOKUP($D14,Original!$D:$AE,8,0),"")</f>
        <v/>
      </c>
      <c r="K14" s="7" t="str">
        <f>IFERROR(VLOOKUP($D14,Original!$D:$AE,9,0),"")</f>
        <v/>
      </c>
      <c r="L14" s="8" t="str">
        <f>IFERROR(VLOOKUP($D14,Original!$D:$AE,10,0),"")</f>
        <v/>
      </c>
      <c r="M14" s="8" t="str">
        <f>IFERROR(VLOOKUP($D14,Original!$D:$AE,11,0),"")</f>
        <v/>
      </c>
      <c r="N14" s="64" t="str">
        <f>IFERROR(VLOOKUP($D14,Original!$D:$AE,12,0),"")</f>
        <v/>
      </c>
      <c r="O14" s="64" t="str">
        <f>IFERROR(VLOOKUP($D14,Original!$D:$AE,13,0),"")</f>
        <v/>
      </c>
      <c r="P14" s="64" t="str">
        <f>IFERROR(VLOOKUP($D14,Original!$D:$AE,14,0),"")</f>
        <v/>
      </c>
      <c r="Q14" s="64" t="str">
        <f>IFERROR(VLOOKUP($D14,Original!$D:$AE,15,0),"")</f>
        <v/>
      </c>
      <c r="R14" s="64" t="str">
        <f>IFERROR(VLOOKUP($D14,Original!$D:$AE,16,0),"")</f>
        <v/>
      </c>
      <c r="S14" s="64" t="str">
        <f>IFERROR(VLOOKUP($D14,Original!$D:$AE,17,0),"")</f>
        <v/>
      </c>
      <c r="T14" s="64" t="str">
        <f>IFERROR(VLOOKUP($D14,Original!$D:$AE,18,0),"")</f>
        <v/>
      </c>
      <c r="U14" s="64" t="str">
        <f>IFERROR(VLOOKUP($D14,Original!$D:$AE,19,0),"")</f>
        <v/>
      </c>
      <c r="V14" s="64" t="str">
        <f>IFERROR(VLOOKUP($D14,Original!$D:$AE,20,0),"")</f>
        <v/>
      </c>
      <c r="W14" s="64" t="str">
        <f>IFERROR(VLOOKUP($D14,Original!$D:$AE,21,0),"")</f>
        <v/>
      </c>
      <c r="X14" s="64" t="str">
        <f>IFERROR(VLOOKUP($D14,Original!$D:$AE,22,0),"")</f>
        <v/>
      </c>
      <c r="Y14" s="65" t="str">
        <f>IFERROR(VLOOKUP($D14,Original!$D:$AE,23,0),"")</f>
        <v/>
      </c>
      <c r="Z14" s="8" t="str">
        <f>IFERROR(VLOOKUP($D14,Original!$D:$AE,124,0),"")</f>
        <v/>
      </c>
      <c r="AA14" s="8" t="str">
        <f>IFERROR(VLOOKUP($D14,Original!$D:$AE,25,0),"")</f>
        <v/>
      </c>
      <c r="AB14" s="23"/>
      <c r="AC14" s="8"/>
      <c r="AD14" s="8"/>
      <c r="AE14" s="8" t="str">
        <f t="shared" si="0"/>
        <v>TRUE</v>
      </c>
      <c r="AF14" s="1"/>
    </row>
    <row r="15" spans="1:32" x14ac:dyDescent="0.25">
      <c r="A15" s="1"/>
      <c r="B15" s="12"/>
      <c r="C15" s="12"/>
      <c r="D15" s="12"/>
      <c r="E15" s="12"/>
      <c r="F15" s="62">
        <f>IF(F12="","",0)</f>
        <v>0</v>
      </c>
      <c r="G15" s="13"/>
      <c r="H15" s="34" t="str">
        <f>$F$5</f>
        <v>B</v>
      </c>
      <c r="I15" s="34" t="str">
        <f>$F$5&amp;J15</f>
        <v>B        FS03</v>
      </c>
      <c r="J15" s="67" t="str">
        <f>F11</f>
        <v xml:space="preserve">        FS03</v>
      </c>
      <c r="K15" s="67"/>
      <c r="L15" s="67" t="s">
        <v>19</v>
      </c>
      <c r="M15" s="67"/>
      <c r="N15" s="42">
        <f>SUMIF($C:$C,$I15,N:N)</f>
        <v>486</v>
      </c>
      <c r="O15" s="42">
        <f>SUMIF($C:$C,$I15,O:O)</f>
        <v>1915.83</v>
      </c>
      <c r="P15" s="42">
        <f>SUMIF($C:$C,$I15,P:P)</f>
        <v>720</v>
      </c>
      <c r="Q15" s="42">
        <f>SUMIF($C:$C,$I15,Q:Q)</f>
        <v>105</v>
      </c>
      <c r="R15" s="42">
        <f>SUMIF($C:$C,$I15,R:R)</f>
        <v>0</v>
      </c>
      <c r="S15" s="42">
        <f>SUMIF($C:$C,$I15,S:S)</f>
        <v>0</v>
      </c>
      <c r="T15" s="42">
        <f>SUMIF($C:$C,$I15,T:T)</f>
        <v>10</v>
      </c>
      <c r="U15" s="42"/>
      <c r="V15" s="42">
        <f>SUMIF($C:$C,$I15,V:V)</f>
        <v>0</v>
      </c>
      <c r="W15" s="42">
        <f>SUMIF($C:$C,$I15,W:W)</f>
        <v>10</v>
      </c>
      <c r="X15" s="42">
        <f>SUMIF($C:$C,$I15,X:X)</f>
        <v>605</v>
      </c>
      <c r="Y15" s="26"/>
      <c r="Z15" s="26"/>
      <c r="AA15" s="27">
        <f>N15/O15*100</f>
        <v>25.367595245924747</v>
      </c>
      <c r="AB15" s="37"/>
      <c r="AC15" s="27"/>
      <c r="AD15" s="27"/>
      <c r="AE15" s="27" t="str">
        <f t="shared" si="0"/>
        <v>FALSE</v>
      </c>
      <c r="AF15" s="1"/>
    </row>
    <row r="16" spans="1:32" x14ac:dyDescent="0.25">
      <c r="A16" s="1"/>
      <c r="B16" s="14"/>
      <c r="C16" s="14"/>
      <c r="D16" s="14"/>
      <c r="E16" s="14" t="s">
        <v>22</v>
      </c>
      <c r="F16" s="15" t="s">
        <v>25</v>
      </c>
      <c r="G16" s="16" t="s">
        <v>26</v>
      </c>
      <c r="H16" s="54">
        <f>IF(H17="","DNR",0)</f>
        <v>0</v>
      </c>
      <c r="I16" s="53">
        <v>0</v>
      </c>
      <c r="J16" s="54">
        <v>0</v>
      </c>
      <c r="K16" s="54">
        <v>0</v>
      </c>
      <c r="L16" s="54">
        <v>0</v>
      </c>
      <c r="M16" s="54">
        <v>0</v>
      </c>
      <c r="N16" s="54">
        <f>IF(F17="","DNR",0)</f>
        <v>0</v>
      </c>
      <c r="O16" s="54">
        <v>0</v>
      </c>
      <c r="P16" s="54">
        <v>0</v>
      </c>
      <c r="Q16" s="54">
        <v>0</v>
      </c>
      <c r="R16" s="54">
        <v>0</v>
      </c>
      <c r="S16" s="54">
        <v>0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5">
        <v>0</v>
      </c>
      <c r="AB16" s="17"/>
      <c r="AC16" s="17"/>
      <c r="AD16" s="17"/>
      <c r="AE16" s="17" t="str">
        <f t="shared" si="0"/>
        <v>FALSE</v>
      </c>
      <c r="AF16" s="1"/>
    </row>
    <row r="17" spans="1:32" x14ac:dyDescent="0.25">
      <c r="A17" s="1"/>
      <c r="B17" s="5">
        <v>1</v>
      </c>
      <c r="C17" s="5" t="str">
        <f>$F$5&amp;E17</f>
        <v>B        FS04</v>
      </c>
      <c r="D17" s="5" t="str">
        <f>$F$5&amp;E17&amp;" "&amp;B17</f>
        <v>B        FS04 1</v>
      </c>
      <c r="E17" s="5" t="str">
        <f>F16</f>
        <v xml:space="preserve">        FS04</v>
      </c>
      <c r="F17" s="5">
        <f>IFERROR(VLOOKUP($D17,Original!$D:$AE,4,0),"")</f>
        <v>30005034</v>
      </c>
      <c r="G17" s="5" t="str">
        <f>IFERROR(VLOOKUP($D17,Original!$D:$AE,5,0),"")</f>
        <v>SEAG GIN 80P 24/375 FSK ND US</v>
      </c>
      <c r="H17" s="5">
        <f>IFERROR(VLOOKUP($D17,Original!$D:$AE,6,0),"")</f>
        <v>408999</v>
      </c>
      <c r="I17" s="6">
        <f>IFERROR(VLOOKUP($D17,Original!$D:$AE,7,0),"")</f>
        <v>44901</v>
      </c>
      <c r="J17" s="7">
        <f>IFERROR(VLOOKUP($D17,Original!$D:$AE,8,0),"")</f>
        <v>0.20833333333333334</v>
      </c>
      <c r="K17" s="7">
        <f>IFERROR(VLOOKUP($D17,Original!$D:$AE,9,0),"")</f>
        <v>0.64583333333333337</v>
      </c>
      <c r="L17" s="8">
        <f>IFERROR(VLOOKUP($D17,Original!$D:$AE,10,0),"")</f>
        <v>8</v>
      </c>
      <c r="M17" s="8">
        <f>IFERROR(VLOOKUP($D17,Original!$D:$AE,11,0),"")</f>
        <v>6</v>
      </c>
      <c r="N17" s="64">
        <f>IFERROR(VLOOKUP($D17,Original!$D:$AE,12,0),"")</f>
        <v>1990</v>
      </c>
      <c r="O17" s="64">
        <f>IFERROR(VLOOKUP($D17,Original!$D:$AE,13,0),"")</f>
        <v>5127.08</v>
      </c>
      <c r="P17" s="64">
        <f>IFERROR(VLOOKUP($D17,Original!$D:$AE,14,0),"")</f>
        <v>630</v>
      </c>
      <c r="Q17" s="64">
        <f>IFERROR(VLOOKUP($D17,Original!$D:$AE,15,0),"")</f>
        <v>80</v>
      </c>
      <c r="R17" s="64">
        <f>IFERROR(VLOOKUP($D17,Original!$D:$AE,16,0),"")</f>
        <v>0</v>
      </c>
      <c r="S17" s="64">
        <f>IFERROR(VLOOKUP($D17,Original!$D:$AE,17,0),"")</f>
        <v>0</v>
      </c>
      <c r="T17" s="64">
        <f>IFERROR(VLOOKUP($D17,Original!$D:$AE,18,0),"")</f>
        <v>15</v>
      </c>
      <c r="U17" s="64">
        <f>IFERROR(VLOOKUP($D17,Original!$D:$AE,19,0),"")</f>
        <v>0</v>
      </c>
      <c r="V17" s="64">
        <f>IFERROR(VLOOKUP($D17,Original!$D:$AE,20,0),"")</f>
        <v>0</v>
      </c>
      <c r="W17" s="64">
        <f>IFERROR(VLOOKUP($D17,Original!$D:$AE,21,0),"")</f>
        <v>12</v>
      </c>
      <c r="X17" s="64">
        <f>IFERROR(VLOOKUP($D17,Original!$D:$AE,22,0),"")</f>
        <v>535</v>
      </c>
      <c r="Y17" s="65">
        <f>IFERROR(VLOOKUP($D17,Original!$D:$AE,23,0),"")</f>
        <v>230</v>
      </c>
      <c r="Z17" s="8" t="str">
        <f>IFERROR(VLOOKUP($D17,Original!$D:$AE,124,0),"")</f>
        <v/>
      </c>
      <c r="AA17" s="8">
        <f>IFERROR(VLOOKUP($D17,Original!$D:$AE,25,0),"")</f>
        <v>38.81</v>
      </c>
      <c r="AB17" s="23"/>
      <c r="AC17" s="8"/>
      <c r="AD17" s="8"/>
      <c r="AE17" s="8" t="str">
        <f t="shared" si="0"/>
        <v>FALSE</v>
      </c>
      <c r="AF17" s="1"/>
    </row>
    <row r="18" spans="1:32" x14ac:dyDescent="0.25">
      <c r="A18" s="1"/>
      <c r="B18" s="5">
        <v>2</v>
      </c>
      <c r="C18" s="5" t="str">
        <f t="shared" ref="C18:C19" si="5">$F$5&amp;E18</f>
        <v>B        FS04</v>
      </c>
      <c r="D18" s="5" t="str">
        <f t="shared" ref="D18:D19" si="6">$F$5&amp;E18&amp;" "&amp;B18</f>
        <v>B        FS04 2</v>
      </c>
      <c r="E18" s="5" t="str">
        <f>F16</f>
        <v xml:space="preserve">        FS04</v>
      </c>
      <c r="F18" s="5" t="str">
        <f>IFERROR(VLOOKUP($D18,Original!$D:$AE,4,0),"")</f>
        <v/>
      </c>
      <c r="G18" s="5" t="str">
        <f>IFERROR(VLOOKUP($D18,Original!$D:$AE,5,0),"")</f>
        <v/>
      </c>
      <c r="H18" s="5" t="str">
        <f>IFERROR(VLOOKUP($D18,Original!$D:$AE,6,0),"")</f>
        <v/>
      </c>
      <c r="I18" s="6" t="str">
        <f>IFERROR(VLOOKUP($D18,Original!$D:$AE,7,0),"")</f>
        <v/>
      </c>
      <c r="J18" s="7" t="str">
        <f>IFERROR(VLOOKUP($D18,Original!$D:$AE,8,0),"")</f>
        <v/>
      </c>
      <c r="K18" s="7" t="str">
        <f>IFERROR(VLOOKUP($D18,Original!$D:$AE,9,0),"")</f>
        <v/>
      </c>
      <c r="L18" s="8" t="str">
        <f>IFERROR(VLOOKUP($D18,Original!$D:$AE,10,0),"")</f>
        <v/>
      </c>
      <c r="M18" s="8" t="str">
        <f>IFERROR(VLOOKUP($D18,Original!$D:$AE,11,0),"")</f>
        <v/>
      </c>
      <c r="N18" s="64" t="str">
        <f>IFERROR(VLOOKUP($D18,Original!$D:$AE,12,0),"")</f>
        <v/>
      </c>
      <c r="O18" s="64" t="str">
        <f>IFERROR(VLOOKUP($D18,Original!$D:$AE,13,0),"")</f>
        <v/>
      </c>
      <c r="P18" s="64" t="str">
        <f>IFERROR(VLOOKUP($D18,Original!$D:$AE,14,0),"")</f>
        <v/>
      </c>
      <c r="Q18" s="64" t="str">
        <f>IFERROR(VLOOKUP($D18,Original!$D:$AE,15,0),"")</f>
        <v/>
      </c>
      <c r="R18" s="64" t="str">
        <f>IFERROR(VLOOKUP($D18,Original!$D:$AE,16,0),"")</f>
        <v/>
      </c>
      <c r="S18" s="64" t="str">
        <f>IFERROR(VLOOKUP($D18,Original!$D:$AE,17,0),"")</f>
        <v/>
      </c>
      <c r="T18" s="64" t="str">
        <f>IFERROR(VLOOKUP($D18,Original!$D:$AE,18,0),"")</f>
        <v/>
      </c>
      <c r="U18" s="64" t="str">
        <f>IFERROR(VLOOKUP($D18,Original!$D:$AE,19,0),"")</f>
        <v/>
      </c>
      <c r="V18" s="64" t="str">
        <f>IFERROR(VLOOKUP($D18,Original!$D:$AE,20,0),"")</f>
        <v/>
      </c>
      <c r="W18" s="64" t="str">
        <f>IFERROR(VLOOKUP($D18,Original!$D:$AE,21,0),"")</f>
        <v/>
      </c>
      <c r="X18" s="64" t="str">
        <f>IFERROR(VLOOKUP($D18,Original!$D:$AE,22,0),"")</f>
        <v/>
      </c>
      <c r="Y18" s="65" t="str">
        <f>IFERROR(VLOOKUP($D18,Original!$D:$AE,23,0),"")</f>
        <v/>
      </c>
      <c r="Z18" s="8" t="str">
        <f>IFERROR(VLOOKUP($D18,Original!$D:$AE,124,0),"")</f>
        <v/>
      </c>
      <c r="AA18" s="8" t="str">
        <f>IFERROR(VLOOKUP($D18,Original!$D:$AE,25,0),"")</f>
        <v/>
      </c>
      <c r="AB18" s="23"/>
      <c r="AC18" s="8"/>
      <c r="AD18" s="8"/>
      <c r="AE18" s="8" t="str">
        <f t="shared" si="0"/>
        <v>TRUE</v>
      </c>
      <c r="AF18" s="1"/>
    </row>
    <row r="19" spans="1:32" x14ac:dyDescent="0.25">
      <c r="A19" s="1"/>
      <c r="B19" s="5">
        <v>3</v>
      </c>
      <c r="C19" s="5" t="str">
        <f t="shared" si="5"/>
        <v>B        FS04</v>
      </c>
      <c r="D19" s="5" t="str">
        <f t="shared" si="6"/>
        <v>B        FS04 3</v>
      </c>
      <c r="E19" s="5" t="str">
        <f>F16</f>
        <v xml:space="preserve">        FS04</v>
      </c>
      <c r="F19" s="5" t="str">
        <f>IFERROR(VLOOKUP($D19,Original!$D:$AE,4,0),"")</f>
        <v/>
      </c>
      <c r="G19" s="5" t="str">
        <f>IFERROR(VLOOKUP($D19,Original!$D:$AE,5,0),"")</f>
        <v/>
      </c>
      <c r="H19" s="5" t="str">
        <f>IFERROR(VLOOKUP($D19,Original!$D:$AE,6,0),"")</f>
        <v/>
      </c>
      <c r="I19" s="6" t="str">
        <f>IFERROR(VLOOKUP($D19,Original!$D:$AE,7,0),"")</f>
        <v/>
      </c>
      <c r="J19" s="7" t="str">
        <f>IFERROR(VLOOKUP($D19,Original!$D:$AE,8,0),"")</f>
        <v/>
      </c>
      <c r="K19" s="7" t="str">
        <f>IFERROR(VLOOKUP($D19,Original!$D:$AE,9,0),"")</f>
        <v/>
      </c>
      <c r="L19" s="8" t="str">
        <f>IFERROR(VLOOKUP($D19,Original!$D:$AE,10,0),"")</f>
        <v/>
      </c>
      <c r="M19" s="8" t="str">
        <f>IFERROR(VLOOKUP($D19,Original!$D:$AE,11,0),"")</f>
        <v/>
      </c>
      <c r="N19" s="64" t="str">
        <f>IFERROR(VLOOKUP($D19,Original!$D:$AE,12,0),"")</f>
        <v/>
      </c>
      <c r="O19" s="64" t="str">
        <f>IFERROR(VLOOKUP($D19,Original!$D:$AE,13,0),"")</f>
        <v/>
      </c>
      <c r="P19" s="64" t="str">
        <f>IFERROR(VLOOKUP($D19,Original!$D:$AE,14,0),"")</f>
        <v/>
      </c>
      <c r="Q19" s="64" t="str">
        <f>IFERROR(VLOOKUP($D19,Original!$D:$AE,15,0),"")</f>
        <v/>
      </c>
      <c r="R19" s="64" t="str">
        <f>IFERROR(VLOOKUP($D19,Original!$D:$AE,16,0),"")</f>
        <v/>
      </c>
      <c r="S19" s="64" t="str">
        <f>IFERROR(VLOOKUP($D19,Original!$D:$AE,17,0),"")</f>
        <v/>
      </c>
      <c r="T19" s="64" t="str">
        <f>IFERROR(VLOOKUP($D19,Original!$D:$AE,18,0),"")</f>
        <v/>
      </c>
      <c r="U19" s="64" t="str">
        <f>IFERROR(VLOOKUP($D19,Original!$D:$AE,19,0),"")</f>
        <v/>
      </c>
      <c r="V19" s="64" t="str">
        <f>IFERROR(VLOOKUP($D19,Original!$D:$AE,20,0),"")</f>
        <v/>
      </c>
      <c r="W19" s="64" t="str">
        <f>IFERROR(VLOOKUP($D19,Original!$D:$AE,21,0),"")</f>
        <v/>
      </c>
      <c r="X19" s="64" t="str">
        <f>IFERROR(VLOOKUP($D19,Original!$D:$AE,22,0),"")</f>
        <v/>
      </c>
      <c r="Y19" s="65" t="str">
        <f>IFERROR(VLOOKUP($D19,Original!$D:$AE,23,0),"")</f>
        <v/>
      </c>
      <c r="Z19" s="8" t="str">
        <f>IFERROR(VLOOKUP($D19,Original!$D:$AE,124,0),"")</f>
        <v/>
      </c>
      <c r="AA19" s="8" t="str">
        <f>IFERROR(VLOOKUP($D19,Original!$D:$AE,25,0),"")</f>
        <v/>
      </c>
      <c r="AB19" s="23"/>
      <c r="AC19" s="8"/>
      <c r="AD19" s="8"/>
      <c r="AE19" s="8" t="str">
        <f t="shared" si="0"/>
        <v>TRUE</v>
      </c>
      <c r="AF19" s="1"/>
    </row>
    <row r="20" spans="1:32" x14ac:dyDescent="0.25">
      <c r="A20" s="1"/>
      <c r="B20" s="12"/>
      <c r="C20" s="12"/>
      <c r="D20" s="12"/>
      <c r="E20" s="12"/>
      <c r="F20" s="62">
        <f>IF(F17="","",0)</f>
        <v>0</v>
      </c>
      <c r="G20" s="13"/>
      <c r="H20" s="34" t="str">
        <f>$F$5</f>
        <v>B</v>
      </c>
      <c r="I20" s="34" t="str">
        <f>$F$5&amp;J20</f>
        <v>B        FS04</v>
      </c>
      <c r="J20" s="67" t="str">
        <f>F16</f>
        <v xml:space="preserve">        FS04</v>
      </c>
      <c r="K20" s="67"/>
      <c r="L20" s="67" t="s">
        <v>19</v>
      </c>
      <c r="M20" s="67"/>
      <c r="N20" s="42">
        <f>SUMIF($C:$C,$I20,N:N)</f>
        <v>1990</v>
      </c>
      <c r="O20" s="42">
        <f>SUMIF($C:$C,$I20,O:O)</f>
        <v>5127.08</v>
      </c>
      <c r="P20" s="42">
        <f>SUMIF($C:$C,$I20,P:P)</f>
        <v>630</v>
      </c>
      <c r="Q20" s="42">
        <f>SUMIF($C:$C,$I20,Q:Q)</f>
        <v>80</v>
      </c>
      <c r="R20" s="42">
        <f>SUMIF($C:$C,$I20,R:R)</f>
        <v>0</v>
      </c>
      <c r="S20" s="42">
        <f>SUMIF($C:$C,$I20,S:S)</f>
        <v>0</v>
      </c>
      <c r="T20" s="42">
        <f>SUMIF($C:$C,$I20,T:T)</f>
        <v>15</v>
      </c>
      <c r="U20" s="42"/>
      <c r="V20" s="42">
        <f>SUMIF($C:$C,$I20,V:V)</f>
        <v>0</v>
      </c>
      <c r="W20" s="42">
        <f>SUMIF($C:$C,$I20,W:W)</f>
        <v>12</v>
      </c>
      <c r="X20" s="42">
        <f>SUMIF($C:$C,$I20,X:X)</f>
        <v>535</v>
      </c>
      <c r="Y20" s="26"/>
      <c r="Z20" s="26"/>
      <c r="AA20" s="27">
        <f>N20/O20*100</f>
        <v>38.813515685341365</v>
      </c>
      <c r="AB20" s="37"/>
      <c r="AC20" s="27"/>
      <c r="AD20" s="27"/>
      <c r="AE20" s="27" t="str">
        <f t="shared" si="0"/>
        <v>FALSE</v>
      </c>
      <c r="AF20" s="1"/>
    </row>
    <row r="21" spans="1:32" x14ac:dyDescent="0.25">
      <c r="A21" s="1"/>
      <c r="B21" s="14"/>
      <c r="C21" s="14"/>
      <c r="D21" s="14"/>
      <c r="E21" s="14" t="s">
        <v>22</v>
      </c>
      <c r="F21" s="15" t="s">
        <v>27</v>
      </c>
      <c r="G21" s="16" t="s">
        <v>28</v>
      </c>
      <c r="H21" s="54">
        <f>IF(H22="","DNR",0)</f>
        <v>0</v>
      </c>
      <c r="I21" s="53">
        <v>0</v>
      </c>
      <c r="J21" s="54">
        <v>0</v>
      </c>
      <c r="K21" s="54">
        <v>0</v>
      </c>
      <c r="L21" s="54">
        <v>0</v>
      </c>
      <c r="M21" s="54">
        <v>0</v>
      </c>
      <c r="N21" s="54">
        <f>IF(F22="","DNR",0)</f>
        <v>0</v>
      </c>
      <c r="O21" s="54">
        <v>0</v>
      </c>
      <c r="P21" s="54">
        <v>0</v>
      </c>
      <c r="Q21" s="54">
        <v>0</v>
      </c>
      <c r="R21" s="54">
        <v>0</v>
      </c>
      <c r="S21" s="54">
        <v>0</v>
      </c>
      <c r="T21" s="54">
        <v>0</v>
      </c>
      <c r="U21" s="54">
        <v>0</v>
      </c>
      <c r="V21" s="54">
        <v>0</v>
      </c>
      <c r="W21" s="54">
        <v>0</v>
      </c>
      <c r="X21" s="54">
        <v>0</v>
      </c>
      <c r="Y21" s="54">
        <v>0</v>
      </c>
      <c r="Z21" s="54">
        <v>0</v>
      </c>
      <c r="AA21" s="55">
        <v>0</v>
      </c>
      <c r="AB21" s="17"/>
      <c r="AC21" s="17"/>
      <c r="AD21" s="17"/>
      <c r="AE21" s="17" t="str">
        <f t="shared" si="0"/>
        <v>FALSE</v>
      </c>
      <c r="AF21" s="1"/>
    </row>
    <row r="22" spans="1:32" x14ac:dyDescent="0.25">
      <c r="A22" s="1"/>
      <c r="B22" s="5">
        <v>1</v>
      </c>
      <c r="C22" s="5" t="str">
        <f t="shared" ref="C22:C24" si="7">$F$5&amp;E22</f>
        <v>B        FS05</v>
      </c>
      <c r="D22" s="5" t="str">
        <f>$F$5&amp;E22&amp;" "&amp;B22</f>
        <v>B        FS05 1</v>
      </c>
      <c r="E22" s="5" t="str">
        <f>F21</f>
        <v xml:space="preserve">        FS05</v>
      </c>
      <c r="F22" s="5">
        <f>IFERROR(VLOOKUP($D22,Original!$D:$AE,4,0),"")</f>
        <v>30001034</v>
      </c>
      <c r="G22" s="5" t="str">
        <f>IFERROR(VLOOKUP($D22,Original!$D:$AE,5,0),"")</f>
        <v>SEAG GIN 80P 48/100 FSK ND US</v>
      </c>
      <c r="H22" s="5">
        <f>IFERROR(VLOOKUP($D22,Original!$D:$AE,6,0),"")</f>
        <v>409371</v>
      </c>
      <c r="I22" s="6">
        <f>IFERROR(VLOOKUP($D22,Original!$D:$AE,7,0),"")</f>
        <v>44901</v>
      </c>
      <c r="J22" s="7">
        <f>IFERROR(VLOOKUP($D22,Original!$D:$AE,8,0),"")</f>
        <v>0.20833333333333334</v>
      </c>
      <c r="K22" s="7">
        <f>IFERROR(VLOOKUP($D22,Original!$D:$AE,9,0),"")</f>
        <v>0.64583333333333337</v>
      </c>
      <c r="L22" s="8">
        <f>IFERROR(VLOOKUP($D22,Original!$D:$AE,10,0),"")</f>
        <v>7</v>
      </c>
      <c r="M22" s="8">
        <f>IFERROR(VLOOKUP($D22,Original!$D:$AE,11,0),"")</f>
        <v>6</v>
      </c>
      <c r="N22" s="64">
        <f>IFERROR(VLOOKUP($D22,Original!$D:$AE,12,0),"")</f>
        <v>972</v>
      </c>
      <c r="O22" s="64">
        <f>IFERROR(VLOOKUP($D22,Original!$D:$AE,13,0),"")</f>
        <v>2682.29</v>
      </c>
      <c r="P22" s="64">
        <f>IFERROR(VLOOKUP($D22,Original!$D:$AE,14,0),"")</f>
        <v>630</v>
      </c>
      <c r="Q22" s="64">
        <f>IFERROR(VLOOKUP($D22,Original!$D:$AE,15,0),"")</f>
        <v>85</v>
      </c>
      <c r="R22" s="64">
        <f>IFERROR(VLOOKUP($D22,Original!$D:$AE,16,0),"")</f>
        <v>0</v>
      </c>
      <c r="S22" s="64">
        <f>IFERROR(VLOOKUP($D22,Original!$D:$AE,17,0),"")</f>
        <v>0</v>
      </c>
      <c r="T22" s="64">
        <f>IFERROR(VLOOKUP($D22,Original!$D:$AE,18,0),"")</f>
        <v>30</v>
      </c>
      <c r="U22" s="64">
        <f>IFERROR(VLOOKUP($D22,Original!$D:$AE,19,0),"")</f>
        <v>0</v>
      </c>
      <c r="V22" s="64">
        <f>IFERROR(VLOOKUP($D22,Original!$D:$AE,20,0),"")</f>
        <v>0</v>
      </c>
      <c r="W22" s="64">
        <f>IFERROR(VLOOKUP($D22,Original!$D:$AE,21,0),"")</f>
        <v>12</v>
      </c>
      <c r="X22" s="64">
        <f>IFERROR(VLOOKUP($D22,Original!$D:$AE,22,0),"")</f>
        <v>515</v>
      </c>
      <c r="Y22" s="65">
        <f>IFERROR(VLOOKUP($D22,Original!$D:$AE,23,0),"")</f>
        <v>250</v>
      </c>
      <c r="Z22" s="8" t="str">
        <f>IFERROR(VLOOKUP($D22,Original!$D:$AE,124,0),"")</f>
        <v/>
      </c>
      <c r="AA22" s="8">
        <f>IFERROR(VLOOKUP($D22,Original!$D:$AE,25,0),"")</f>
        <v>36.24</v>
      </c>
      <c r="AB22" s="23"/>
      <c r="AC22" s="8"/>
      <c r="AD22" s="8"/>
      <c r="AE22" s="8" t="str">
        <f t="shared" si="0"/>
        <v>FALSE</v>
      </c>
      <c r="AF22" s="1"/>
    </row>
    <row r="23" spans="1:32" x14ac:dyDescent="0.25">
      <c r="A23" s="1"/>
      <c r="B23" s="5">
        <v>2</v>
      </c>
      <c r="C23" s="5" t="str">
        <f t="shared" si="7"/>
        <v>B        FS05</v>
      </c>
      <c r="D23" s="5" t="str">
        <f t="shared" ref="D23:D24" si="8">$F$5&amp;E23&amp;" "&amp;B23</f>
        <v>B        FS05 2</v>
      </c>
      <c r="E23" s="5" t="str">
        <f>F21</f>
        <v xml:space="preserve">        FS05</v>
      </c>
      <c r="F23" s="5" t="str">
        <f>IFERROR(VLOOKUP($D23,Original!$D:$AE,4,0),"")</f>
        <v/>
      </c>
      <c r="G23" s="5" t="str">
        <f>IFERROR(VLOOKUP($D23,Original!$D:$AE,5,0),"")</f>
        <v/>
      </c>
      <c r="H23" s="5" t="str">
        <f>IFERROR(VLOOKUP($D23,Original!$D:$AE,6,0),"")</f>
        <v/>
      </c>
      <c r="I23" s="6" t="str">
        <f>IFERROR(VLOOKUP($D23,Original!$D:$AE,7,0),"")</f>
        <v/>
      </c>
      <c r="J23" s="7" t="str">
        <f>IFERROR(VLOOKUP($D23,Original!$D:$AE,8,0),"")</f>
        <v/>
      </c>
      <c r="K23" s="7" t="str">
        <f>IFERROR(VLOOKUP($D23,Original!$D:$AE,9,0),"")</f>
        <v/>
      </c>
      <c r="L23" s="8" t="str">
        <f>IFERROR(VLOOKUP($D23,Original!$D:$AE,10,0),"")</f>
        <v/>
      </c>
      <c r="M23" s="8" t="str">
        <f>IFERROR(VLOOKUP($D23,Original!$D:$AE,11,0),"")</f>
        <v/>
      </c>
      <c r="N23" s="64" t="str">
        <f>IFERROR(VLOOKUP($D23,Original!$D:$AE,12,0),"")</f>
        <v/>
      </c>
      <c r="O23" s="64" t="str">
        <f>IFERROR(VLOOKUP($D23,Original!$D:$AE,13,0),"")</f>
        <v/>
      </c>
      <c r="P23" s="64" t="str">
        <f>IFERROR(VLOOKUP($D23,Original!$D:$AE,14,0),"")</f>
        <v/>
      </c>
      <c r="Q23" s="64" t="str">
        <f>IFERROR(VLOOKUP($D23,Original!$D:$AE,15,0),"")</f>
        <v/>
      </c>
      <c r="R23" s="64" t="str">
        <f>IFERROR(VLOOKUP($D23,Original!$D:$AE,16,0),"")</f>
        <v/>
      </c>
      <c r="S23" s="64" t="str">
        <f>IFERROR(VLOOKUP($D23,Original!$D:$AE,17,0),"")</f>
        <v/>
      </c>
      <c r="T23" s="64" t="str">
        <f>IFERROR(VLOOKUP($D23,Original!$D:$AE,18,0),"")</f>
        <v/>
      </c>
      <c r="U23" s="64" t="str">
        <f>IFERROR(VLOOKUP($D23,Original!$D:$AE,19,0),"")</f>
        <v/>
      </c>
      <c r="V23" s="64" t="str">
        <f>IFERROR(VLOOKUP($D23,Original!$D:$AE,20,0),"")</f>
        <v/>
      </c>
      <c r="W23" s="64" t="str">
        <f>IFERROR(VLOOKUP($D23,Original!$D:$AE,21,0),"")</f>
        <v/>
      </c>
      <c r="X23" s="64" t="str">
        <f>IFERROR(VLOOKUP($D23,Original!$D:$AE,22,0),"")</f>
        <v/>
      </c>
      <c r="Y23" s="65" t="str">
        <f>IFERROR(VLOOKUP($D23,Original!$D:$AE,23,0),"")</f>
        <v/>
      </c>
      <c r="Z23" s="8" t="str">
        <f>IFERROR(VLOOKUP($D23,Original!$D:$AE,124,0),"")</f>
        <v/>
      </c>
      <c r="AA23" s="8" t="str">
        <f>IFERROR(VLOOKUP($D23,Original!$D:$AE,25,0),"")</f>
        <v/>
      </c>
      <c r="AB23" s="23"/>
      <c r="AC23" s="8"/>
      <c r="AD23" s="8"/>
      <c r="AE23" s="8" t="str">
        <f t="shared" si="0"/>
        <v>TRUE</v>
      </c>
      <c r="AF23" s="1"/>
    </row>
    <row r="24" spans="1:32" x14ac:dyDescent="0.25">
      <c r="A24" s="1"/>
      <c r="B24" s="5">
        <v>3</v>
      </c>
      <c r="C24" s="5" t="str">
        <f t="shared" si="7"/>
        <v>B        FS05</v>
      </c>
      <c r="D24" s="5" t="str">
        <f t="shared" si="8"/>
        <v>B        FS05 3</v>
      </c>
      <c r="E24" s="5" t="str">
        <f>F21</f>
        <v xml:space="preserve">        FS05</v>
      </c>
      <c r="F24" s="5" t="str">
        <f>IFERROR(VLOOKUP($D24,Original!$D:$AE,4,0),"")</f>
        <v/>
      </c>
      <c r="G24" s="5" t="str">
        <f>IFERROR(VLOOKUP($D24,Original!$D:$AE,5,0),"")</f>
        <v/>
      </c>
      <c r="H24" s="5" t="str">
        <f>IFERROR(VLOOKUP($D24,Original!$D:$AE,6,0),"")</f>
        <v/>
      </c>
      <c r="I24" s="6" t="str">
        <f>IFERROR(VLOOKUP($D24,Original!$D:$AE,7,0),"")</f>
        <v/>
      </c>
      <c r="J24" s="7" t="str">
        <f>IFERROR(VLOOKUP($D24,Original!$D:$AE,8,0),"")</f>
        <v/>
      </c>
      <c r="K24" s="7" t="str">
        <f>IFERROR(VLOOKUP($D24,Original!$D:$AE,9,0),"")</f>
        <v/>
      </c>
      <c r="L24" s="8" t="str">
        <f>IFERROR(VLOOKUP($D24,Original!$D:$AE,10,0),"")</f>
        <v/>
      </c>
      <c r="M24" s="8" t="str">
        <f>IFERROR(VLOOKUP($D24,Original!$D:$AE,11,0),"")</f>
        <v/>
      </c>
      <c r="N24" s="64" t="str">
        <f>IFERROR(VLOOKUP($D24,Original!$D:$AE,12,0),"")</f>
        <v/>
      </c>
      <c r="O24" s="64" t="str">
        <f>IFERROR(VLOOKUP($D24,Original!$D:$AE,13,0),"")</f>
        <v/>
      </c>
      <c r="P24" s="64" t="str">
        <f>IFERROR(VLOOKUP($D24,Original!$D:$AE,14,0),"")</f>
        <v/>
      </c>
      <c r="Q24" s="64" t="str">
        <f>IFERROR(VLOOKUP($D24,Original!$D:$AE,15,0),"")</f>
        <v/>
      </c>
      <c r="R24" s="64" t="str">
        <f>IFERROR(VLOOKUP($D24,Original!$D:$AE,16,0),"")</f>
        <v/>
      </c>
      <c r="S24" s="64" t="str">
        <f>IFERROR(VLOOKUP($D24,Original!$D:$AE,17,0),"")</f>
        <v/>
      </c>
      <c r="T24" s="64" t="str">
        <f>IFERROR(VLOOKUP($D24,Original!$D:$AE,18,0),"")</f>
        <v/>
      </c>
      <c r="U24" s="64" t="str">
        <f>IFERROR(VLOOKUP($D24,Original!$D:$AE,19,0),"")</f>
        <v/>
      </c>
      <c r="V24" s="64" t="str">
        <f>IFERROR(VLOOKUP($D24,Original!$D:$AE,20,0),"")</f>
        <v/>
      </c>
      <c r="W24" s="64" t="str">
        <f>IFERROR(VLOOKUP($D24,Original!$D:$AE,21,0),"")</f>
        <v/>
      </c>
      <c r="X24" s="64" t="str">
        <f>IFERROR(VLOOKUP($D24,Original!$D:$AE,22,0),"")</f>
        <v/>
      </c>
      <c r="Y24" s="65" t="str">
        <f>IFERROR(VLOOKUP($D24,Original!$D:$AE,23,0),"")</f>
        <v/>
      </c>
      <c r="Z24" s="8" t="str">
        <f>IFERROR(VLOOKUP($D24,Original!$D:$AE,124,0),"")</f>
        <v/>
      </c>
      <c r="AA24" s="8" t="str">
        <f>IFERROR(VLOOKUP($D24,Original!$D:$AE,25,0),"")</f>
        <v/>
      </c>
      <c r="AB24" s="23"/>
      <c r="AC24" s="8"/>
      <c r="AD24" s="8"/>
      <c r="AE24" s="8" t="str">
        <f t="shared" si="0"/>
        <v>TRUE</v>
      </c>
      <c r="AF24" s="1"/>
    </row>
    <row r="25" spans="1:32" x14ac:dyDescent="0.25">
      <c r="A25" s="1"/>
      <c r="B25" s="12"/>
      <c r="C25" s="12"/>
      <c r="D25" s="12"/>
      <c r="E25" s="12"/>
      <c r="F25" s="62">
        <f>IF(F22="","",0)</f>
        <v>0</v>
      </c>
      <c r="G25" s="13"/>
      <c r="H25" s="34" t="str">
        <f>$F$5</f>
        <v>B</v>
      </c>
      <c r="I25" s="34" t="str">
        <f>$F$5&amp;J25</f>
        <v>B        FS05</v>
      </c>
      <c r="J25" s="67" t="str">
        <f>F21</f>
        <v xml:space="preserve">        FS05</v>
      </c>
      <c r="K25" s="67"/>
      <c r="L25" s="67" t="s">
        <v>19</v>
      </c>
      <c r="M25" s="67"/>
      <c r="N25" s="42">
        <f>SUMIF($C:$C,$I25,N:N)</f>
        <v>972</v>
      </c>
      <c r="O25" s="42">
        <f>SUMIF($C:$C,$I25,O:O)</f>
        <v>2682.29</v>
      </c>
      <c r="P25" s="42">
        <f>SUMIF($C:$C,$I25,P:P)</f>
        <v>630</v>
      </c>
      <c r="Q25" s="42">
        <f>SUMIF($C:$C,$I25,Q:Q)</f>
        <v>85</v>
      </c>
      <c r="R25" s="42">
        <f>SUMIF($C:$C,$I25,R:R)</f>
        <v>0</v>
      </c>
      <c r="S25" s="42">
        <f>SUMIF($C:$C,$I25,S:S)</f>
        <v>0</v>
      </c>
      <c r="T25" s="42">
        <f>SUMIF($C:$C,$I25,T:T)</f>
        <v>30</v>
      </c>
      <c r="U25" s="42"/>
      <c r="V25" s="42">
        <f>SUMIF($C:$C,$I25,V:V)</f>
        <v>0</v>
      </c>
      <c r="W25" s="42">
        <f>SUMIF($C:$C,$I25,W:W)</f>
        <v>12</v>
      </c>
      <c r="X25" s="42">
        <f>SUMIF($C:$C,$I25,X:X)</f>
        <v>515</v>
      </c>
      <c r="Y25" s="26"/>
      <c r="Z25" s="26"/>
      <c r="AA25" s="27">
        <f>N25/O25*100</f>
        <v>36.237692419537041</v>
      </c>
      <c r="AB25" s="37"/>
      <c r="AC25" s="27"/>
      <c r="AD25" s="27"/>
      <c r="AE25" s="27" t="str">
        <f t="shared" si="0"/>
        <v>FALSE</v>
      </c>
      <c r="AF25" s="1"/>
    </row>
    <row r="26" spans="1:32" x14ac:dyDescent="0.25">
      <c r="A26" s="1"/>
      <c r="B26" s="14"/>
      <c r="C26" s="14"/>
      <c r="D26" s="14"/>
      <c r="E26" s="14" t="s">
        <v>22</v>
      </c>
      <c r="F26" s="15" t="s">
        <v>29</v>
      </c>
      <c r="G26" s="16" t="s">
        <v>30</v>
      </c>
      <c r="H26" s="54" t="str">
        <f>IF(H27="","DNR",0)</f>
        <v>DNR</v>
      </c>
      <c r="I26" s="53">
        <v>0</v>
      </c>
      <c r="J26" s="54">
        <v>0</v>
      </c>
      <c r="K26" s="54">
        <v>0</v>
      </c>
      <c r="L26" s="54">
        <v>0</v>
      </c>
      <c r="M26" s="54">
        <v>0</v>
      </c>
      <c r="N26" s="54" t="str">
        <f>IF(F27="","DNR",0)</f>
        <v>DNR</v>
      </c>
      <c r="O26" s="54">
        <v>0</v>
      </c>
      <c r="P26" s="54">
        <v>0</v>
      </c>
      <c r="Q26" s="54">
        <v>0</v>
      </c>
      <c r="R26" s="54">
        <v>0</v>
      </c>
      <c r="S26" s="54">
        <v>0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5">
        <v>0</v>
      </c>
      <c r="AB26" s="17"/>
      <c r="AC26" s="17"/>
      <c r="AD26" s="17"/>
      <c r="AE26" s="17" t="str">
        <f t="shared" si="0"/>
        <v>TRUE</v>
      </c>
      <c r="AF26" s="1"/>
    </row>
    <row r="27" spans="1:32" x14ac:dyDescent="0.25">
      <c r="A27" s="1"/>
      <c r="B27" s="5">
        <v>1</v>
      </c>
      <c r="C27" s="5" t="str">
        <f t="shared" ref="C27:C29" si="9">$F$5&amp;E27</f>
        <v>B        FS08</v>
      </c>
      <c r="D27" s="5" t="str">
        <f>$F$5&amp;E27&amp;" "&amp;B27</f>
        <v>B        FS08 1</v>
      </c>
      <c r="E27" s="5" t="str">
        <f>F26</f>
        <v xml:space="preserve">        FS08</v>
      </c>
      <c r="F27" s="5" t="str">
        <f>IFERROR(VLOOKUP($D27,Original!$D:$AE,4,0),"")</f>
        <v/>
      </c>
      <c r="G27" s="5" t="str">
        <f>IFERROR(VLOOKUP($D27,Original!$D:$AE,5,0),"")</f>
        <v/>
      </c>
      <c r="H27" s="5" t="str">
        <f>IFERROR(VLOOKUP($D27,Original!$D:$AE,6,0),"")</f>
        <v/>
      </c>
      <c r="I27" s="6" t="str">
        <f>IFERROR(VLOOKUP($D27,Original!$D:$AE,7,0),"")</f>
        <v/>
      </c>
      <c r="J27" s="7" t="str">
        <f>IFERROR(VLOOKUP($D27,Original!$D:$AE,8,0),"")</f>
        <v/>
      </c>
      <c r="K27" s="7" t="str">
        <f>IFERROR(VLOOKUP($D27,Original!$D:$AE,9,0),"")</f>
        <v/>
      </c>
      <c r="L27" s="8" t="str">
        <f>IFERROR(VLOOKUP($D27,Original!$D:$AE,10,0),"")</f>
        <v/>
      </c>
      <c r="M27" s="8" t="str">
        <f>IFERROR(VLOOKUP($D27,Original!$D:$AE,11,0),"")</f>
        <v/>
      </c>
      <c r="N27" s="64" t="str">
        <f>IFERROR(VLOOKUP($D27,Original!$D:$AE,12,0),"")</f>
        <v/>
      </c>
      <c r="O27" s="64" t="str">
        <f>IFERROR(VLOOKUP($D27,Original!$D:$AE,13,0),"")</f>
        <v/>
      </c>
      <c r="P27" s="64" t="str">
        <f>IFERROR(VLOOKUP($D27,Original!$D:$AE,14,0),"")</f>
        <v/>
      </c>
      <c r="Q27" s="64" t="str">
        <f>IFERROR(VLOOKUP($D27,Original!$D:$AE,15,0),"")</f>
        <v/>
      </c>
      <c r="R27" s="64" t="str">
        <f>IFERROR(VLOOKUP($D27,Original!$D:$AE,16,0),"")</f>
        <v/>
      </c>
      <c r="S27" s="64" t="str">
        <f>IFERROR(VLOOKUP($D27,Original!$D:$AE,17,0),"")</f>
        <v/>
      </c>
      <c r="T27" s="64" t="str">
        <f>IFERROR(VLOOKUP($D27,Original!$D:$AE,18,0),"")</f>
        <v/>
      </c>
      <c r="U27" s="64" t="str">
        <f>IFERROR(VLOOKUP($D27,Original!$D:$AE,19,0),"")</f>
        <v/>
      </c>
      <c r="V27" s="64" t="str">
        <f>IFERROR(VLOOKUP($D27,Original!$D:$AE,20,0),"")</f>
        <v/>
      </c>
      <c r="W27" s="64" t="str">
        <f>IFERROR(VLOOKUP($D27,Original!$D:$AE,21,0),"")</f>
        <v/>
      </c>
      <c r="X27" s="64" t="str">
        <f>IFERROR(VLOOKUP($D27,Original!$D:$AE,22,0),"")</f>
        <v/>
      </c>
      <c r="Y27" s="65" t="str">
        <f>IFERROR(VLOOKUP($D27,Original!$D:$AE,23,0),"")</f>
        <v/>
      </c>
      <c r="Z27" s="8" t="str">
        <f>IFERROR(VLOOKUP($D27,Original!$D:$AE,124,0),"")</f>
        <v/>
      </c>
      <c r="AA27" s="8" t="str">
        <f>IFERROR(VLOOKUP($D27,Original!$D:$AE,25,0),"")</f>
        <v/>
      </c>
      <c r="AB27" s="23"/>
      <c r="AC27" s="8"/>
      <c r="AD27" s="8"/>
      <c r="AE27" s="8" t="str">
        <f t="shared" si="0"/>
        <v>TRUE</v>
      </c>
      <c r="AF27" s="1"/>
    </row>
    <row r="28" spans="1:32" x14ac:dyDescent="0.25">
      <c r="A28" s="1"/>
      <c r="B28" s="5">
        <v>2</v>
      </c>
      <c r="C28" s="5" t="str">
        <f>$F$5&amp;E28</f>
        <v>B        FS08</v>
      </c>
      <c r="D28" s="5" t="str">
        <f t="shared" ref="D28:D29" si="10">$F$5&amp;E28&amp;" "&amp;B28</f>
        <v>B        FS08 2</v>
      </c>
      <c r="E28" s="5" t="str">
        <f>F26</f>
        <v xml:space="preserve">        FS08</v>
      </c>
      <c r="F28" s="5" t="str">
        <f>IFERROR(VLOOKUP($D28,Original!$D:$AE,4,0),"")</f>
        <v/>
      </c>
      <c r="G28" s="5" t="str">
        <f>IFERROR(VLOOKUP($D28,Original!$D:$AE,5,0),"")</f>
        <v/>
      </c>
      <c r="H28" s="5" t="str">
        <f>IFERROR(VLOOKUP($D28,Original!$D:$AE,6,0),"")</f>
        <v/>
      </c>
      <c r="I28" s="6" t="str">
        <f>IFERROR(VLOOKUP($D28,Original!$D:$AE,7,0),"")</f>
        <v/>
      </c>
      <c r="J28" s="7" t="str">
        <f>IFERROR(VLOOKUP($D28,Original!$D:$AE,8,0),"")</f>
        <v/>
      </c>
      <c r="K28" s="7" t="str">
        <f>IFERROR(VLOOKUP($D28,Original!$D:$AE,9,0),"")</f>
        <v/>
      </c>
      <c r="L28" s="8" t="str">
        <f>IFERROR(VLOOKUP($D28,Original!$D:$AE,10,0),"")</f>
        <v/>
      </c>
      <c r="M28" s="8" t="str">
        <f>IFERROR(VLOOKUP($D28,Original!$D:$AE,11,0),"")</f>
        <v/>
      </c>
      <c r="N28" s="64" t="str">
        <f>IFERROR(VLOOKUP($D28,Original!$D:$AE,12,0),"")</f>
        <v/>
      </c>
      <c r="O28" s="64" t="str">
        <f>IFERROR(VLOOKUP($D28,Original!$D:$AE,13,0),"")</f>
        <v/>
      </c>
      <c r="P28" s="64" t="str">
        <f>IFERROR(VLOOKUP($D28,Original!$D:$AE,14,0),"")</f>
        <v/>
      </c>
      <c r="Q28" s="64" t="str">
        <f>IFERROR(VLOOKUP($D28,Original!$D:$AE,15,0),"")</f>
        <v/>
      </c>
      <c r="R28" s="64" t="str">
        <f>IFERROR(VLOOKUP($D28,Original!$D:$AE,16,0),"")</f>
        <v/>
      </c>
      <c r="S28" s="64" t="str">
        <f>IFERROR(VLOOKUP($D28,Original!$D:$AE,17,0),"")</f>
        <v/>
      </c>
      <c r="T28" s="64" t="str">
        <f>IFERROR(VLOOKUP($D28,Original!$D:$AE,18,0),"")</f>
        <v/>
      </c>
      <c r="U28" s="64" t="str">
        <f>IFERROR(VLOOKUP($D28,Original!$D:$AE,19,0),"")</f>
        <v/>
      </c>
      <c r="V28" s="64" t="str">
        <f>IFERROR(VLOOKUP($D28,Original!$D:$AE,20,0),"")</f>
        <v/>
      </c>
      <c r="W28" s="64" t="str">
        <f>IFERROR(VLOOKUP($D28,Original!$D:$AE,21,0),"")</f>
        <v/>
      </c>
      <c r="X28" s="64" t="str">
        <f>IFERROR(VLOOKUP($D28,Original!$D:$AE,22,0),"")</f>
        <v/>
      </c>
      <c r="Y28" s="65" t="str">
        <f>IFERROR(VLOOKUP($D28,Original!$D:$AE,23,0),"")</f>
        <v/>
      </c>
      <c r="Z28" s="8" t="str">
        <f>IFERROR(VLOOKUP($D28,Original!$D:$AE,124,0),"")</f>
        <v/>
      </c>
      <c r="AA28" s="8" t="str">
        <f>IFERROR(VLOOKUP($D28,Original!$D:$AE,25,0),"")</f>
        <v/>
      </c>
      <c r="AB28" s="23"/>
      <c r="AC28" s="8"/>
      <c r="AD28" s="8"/>
      <c r="AE28" s="8" t="str">
        <f t="shared" si="0"/>
        <v>TRUE</v>
      </c>
      <c r="AF28" s="1"/>
    </row>
    <row r="29" spans="1:32" x14ac:dyDescent="0.25">
      <c r="A29" s="1"/>
      <c r="B29" s="5">
        <v>3</v>
      </c>
      <c r="C29" s="5" t="str">
        <f t="shared" si="9"/>
        <v>B        FS08</v>
      </c>
      <c r="D29" s="5" t="str">
        <f t="shared" si="10"/>
        <v>B        FS08 3</v>
      </c>
      <c r="E29" s="5" t="str">
        <f>F26</f>
        <v xml:space="preserve">        FS08</v>
      </c>
      <c r="F29" s="5" t="str">
        <f>IFERROR(VLOOKUP($D29,Original!$D:$AE,4,0),"")</f>
        <v/>
      </c>
      <c r="G29" s="5" t="str">
        <f>IFERROR(VLOOKUP($D29,Original!$D:$AE,5,0),"")</f>
        <v/>
      </c>
      <c r="H29" s="5" t="str">
        <f>IFERROR(VLOOKUP($D29,Original!$D:$AE,6,0),"")</f>
        <v/>
      </c>
      <c r="I29" s="6" t="str">
        <f>IFERROR(VLOOKUP($D29,Original!$D:$AE,7,0),"")</f>
        <v/>
      </c>
      <c r="J29" s="7" t="str">
        <f>IFERROR(VLOOKUP($D29,Original!$D:$AE,8,0),"")</f>
        <v/>
      </c>
      <c r="K29" s="7" t="str">
        <f>IFERROR(VLOOKUP($D29,Original!$D:$AE,9,0),"")</f>
        <v/>
      </c>
      <c r="L29" s="8" t="str">
        <f>IFERROR(VLOOKUP($D29,Original!$D:$AE,10,0),"")</f>
        <v/>
      </c>
      <c r="M29" s="8" t="str">
        <f>IFERROR(VLOOKUP($D29,Original!$D:$AE,11,0),"")</f>
        <v/>
      </c>
      <c r="N29" s="64" t="str">
        <f>IFERROR(VLOOKUP($D29,Original!$D:$AE,12,0),"")</f>
        <v/>
      </c>
      <c r="O29" s="64" t="str">
        <f>IFERROR(VLOOKUP($D29,Original!$D:$AE,13,0),"")</f>
        <v/>
      </c>
      <c r="P29" s="64" t="str">
        <f>IFERROR(VLOOKUP($D29,Original!$D:$AE,14,0),"")</f>
        <v/>
      </c>
      <c r="Q29" s="64" t="str">
        <f>IFERROR(VLOOKUP($D29,Original!$D:$AE,15,0),"")</f>
        <v/>
      </c>
      <c r="R29" s="64" t="str">
        <f>IFERROR(VLOOKUP($D29,Original!$D:$AE,16,0),"")</f>
        <v/>
      </c>
      <c r="S29" s="64" t="str">
        <f>IFERROR(VLOOKUP($D29,Original!$D:$AE,17,0),"")</f>
        <v/>
      </c>
      <c r="T29" s="64" t="str">
        <f>IFERROR(VLOOKUP($D29,Original!$D:$AE,18,0),"")</f>
        <v/>
      </c>
      <c r="U29" s="64" t="str">
        <f>IFERROR(VLOOKUP($D29,Original!$D:$AE,19,0),"")</f>
        <v/>
      </c>
      <c r="V29" s="64" t="str">
        <f>IFERROR(VLOOKUP($D29,Original!$D:$AE,20,0),"")</f>
        <v/>
      </c>
      <c r="W29" s="64" t="str">
        <f>IFERROR(VLOOKUP($D29,Original!$D:$AE,21,0),"")</f>
        <v/>
      </c>
      <c r="X29" s="64" t="str">
        <f>IFERROR(VLOOKUP($D29,Original!$D:$AE,22,0),"")</f>
        <v/>
      </c>
      <c r="Y29" s="65" t="str">
        <f>IFERROR(VLOOKUP($D29,Original!$D:$AE,23,0),"")</f>
        <v/>
      </c>
      <c r="Z29" s="8" t="str">
        <f>IFERROR(VLOOKUP($D29,Original!$D:$AE,124,0),"")</f>
        <v/>
      </c>
      <c r="AA29" s="8" t="str">
        <f>IFERROR(VLOOKUP($D29,Original!$D:$AE,25,0),"")</f>
        <v/>
      </c>
      <c r="AB29" s="23"/>
      <c r="AC29" s="8"/>
      <c r="AD29" s="8"/>
      <c r="AE29" s="8" t="str">
        <f t="shared" si="0"/>
        <v>TRUE</v>
      </c>
      <c r="AF29" s="1"/>
    </row>
    <row r="30" spans="1:32" x14ac:dyDescent="0.25">
      <c r="A30" s="1"/>
      <c r="B30" s="12"/>
      <c r="C30" s="12"/>
      <c r="D30" s="12"/>
      <c r="E30" s="12"/>
      <c r="F30" s="62" t="str">
        <f>IF(F27="","",0)</f>
        <v/>
      </c>
      <c r="G30" s="13"/>
      <c r="H30" s="34" t="str">
        <f>$F$5</f>
        <v>B</v>
      </c>
      <c r="I30" s="34" t="str">
        <f>$F$5&amp;J30</f>
        <v>B        FS08</v>
      </c>
      <c r="J30" s="67" t="str">
        <f>F26</f>
        <v xml:space="preserve">        FS08</v>
      </c>
      <c r="K30" s="67"/>
      <c r="L30" s="67" t="s">
        <v>19</v>
      </c>
      <c r="M30" s="67"/>
      <c r="N30" s="42">
        <f>SUMIF($C:$C,$I30,N:N)</f>
        <v>0</v>
      </c>
      <c r="O30" s="42">
        <f>SUMIF($C:$C,$I30,O:O)</f>
        <v>0</v>
      </c>
      <c r="P30" s="42">
        <f>SUMIF($C:$C,$I30,P:P)</f>
        <v>0</v>
      </c>
      <c r="Q30" s="42">
        <f>SUMIF($C:$C,$I30,Q:Q)</f>
        <v>0</v>
      </c>
      <c r="R30" s="42">
        <f>SUMIF($C:$C,$I30,R:R)</f>
        <v>0</v>
      </c>
      <c r="S30" s="42">
        <f>SUMIF($C:$C,$I30,S:S)</f>
        <v>0</v>
      </c>
      <c r="T30" s="42">
        <f>SUMIF($C:$C,$I30,T:T)</f>
        <v>0</v>
      </c>
      <c r="U30" s="42"/>
      <c r="V30" s="42">
        <f>SUMIF($C:$C,$I30,V:V)</f>
        <v>0</v>
      </c>
      <c r="W30" s="42">
        <f>SUMIF($C:$C,$I30,W:W)</f>
        <v>0</v>
      </c>
      <c r="X30" s="42">
        <f>SUMIF($C:$C,$I30,X:X)</f>
        <v>0</v>
      </c>
      <c r="Y30" s="26"/>
      <c r="Z30" s="26"/>
      <c r="AA30" s="27" t="e">
        <f>N30/O30*100</f>
        <v>#DIV/0!</v>
      </c>
      <c r="AB30" s="37"/>
      <c r="AC30" s="27"/>
      <c r="AD30" s="27"/>
      <c r="AE30" s="27" t="str">
        <f t="shared" si="0"/>
        <v>TRUE</v>
      </c>
      <c r="AF30" s="1"/>
    </row>
    <row r="31" spans="1:32" x14ac:dyDescent="0.25">
      <c r="A31" s="1"/>
      <c r="B31" s="14"/>
      <c r="C31" s="14"/>
      <c r="D31" s="14"/>
      <c r="E31" s="14" t="s">
        <v>22</v>
      </c>
      <c r="F31" s="15" t="s">
        <v>46</v>
      </c>
      <c r="G31" s="16" t="s">
        <v>45</v>
      </c>
      <c r="H31" s="54" t="str">
        <f>IF(H32="","DNR",0)</f>
        <v>DNR</v>
      </c>
      <c r="I31" s="53">
        <v>0</v>
      </c>
      <c r="J31" s="54">
        <v>0</v>
      </c>
      <c r="K31" s="54">
        <v>0</v>
      </c>
      <c r="L31" s="54">
        <v>0</v>
      </c>
      <c r="M31" s="54">
        <v>0</v>
      </c>
      <c r="N31" s="54" t="str">
        <f>IF(F32="","DNR",0)</f>
        <v>DNR</v>
      </c>
      <c r="O31" s="54">
        <v>0</v>
      </c>
      <c r="P31" s="54">
        <v>0</v>
      </c>
      <c r="Q31" s="54">
        <v>0</v>
      </c>
      <c r="R31" s="54">
        <v>0</v>
      </c>
      <c r="S31" s="54">
        <v>0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5">
        <v>0</v>
      </c>
      <c r="AB31" s="17"/>
      <c r="AC31" s="17"/>
      <c r="AD31" s="17"/>
      <c r="AE31" s="17" t="str">
        <f t="shared" si="0"/>
        <v>TRUE</v>
      </c>
      <c r="AF31" s="1"/>
    </row>
    <row r="32" spans="1:32" x14ac:dyDescent="0.25">
      <c r="A32" s="1"/>
      <c r="B32" s="5">
        <v>1</v>
      </c>
      <c r="C32" s="5" t="str">
        <f t="shared" ref="C32:C34" si="11">$F$5&amp;E32</f>
        <v>B        FS09</v>
      </c>
      <c r="D32" s="5" t="str">
        <f>$F$5&amp;E32&amp;" "&amp;B32</f>
        <v>B        FS09 1</v>
      </c>
      <c r="E32" s="5" t="str">
        <f>F31</f>
        <v xml:space="preserve">        FS09</v>
      </c>
      <c r="F32" s="5" t="str">
        <f>IFERROR(VLOOKUP($D32,Original!$D:$AE,4,0),"")</f>
        <v/>
      </c>
      <c r="G32" s="5" t="str">
        <f>IFERROR(VLOOKUP($D32,Original!$D:$AE,5,0),"")</f>
        <v/>
      </c>
      <c r="H32" s="5" t="str">
        <f>IFERROR(VLOOKUP($D32,Original!$D:$AE,6,0),"")</f>
        <v/>
      </c>
      <c r="I32" s="6" t="str">
        <f>IFERROR(VLOOKUP($D32,Original!$D:$AE,7,0),"")</f>
        <v/>
      </c>
      <c r="J32" s="7" t="str">
        <f>IFERROR(VLOOKUP($D32,Original!$D:$AE,8,0),"")</f>
        <v/>
      </c>
      <c r="K32" s="7" t="str">
        <f>IFERROR(VLOOKUP($D32,Original!$D:$AE,9,0),"")</f>
        <v/>
      </c>
      <c r="L32" s="8" t="str">
        <f>IFERROR(VLOOKUP($D32,Original!$D:$AE,10,0),"")</f>
        <v/>
      </c>
      <c r="M32" s="8" t="str">
        <f>IFERROR(VLOOKUP($D32,Original!$D:$AE,11,0),"")</f>
        <v/>
      </c>
      <c r="N32" s="64" t="str">
        <f>IFERROR(VLOOKUP($D32,Original!$D:$AE,12,0),"")</f>
        <v/>
      </c>
      <c r="O32" s="64" t="str">
        <f>IFERROR(VLOOKUP($D32,Original!$D:$AE,13,0),"")</f>
        <v/>
      </c>
      <c r="P32" s="64" t="str">
        <f>IFERROR(VLOOKUP($D32,Original!$D:$AE,14,0),"")</f>
        <v/>
      </c>
      <c r="Q32" s="64" t="str">
        <f>IFERROR(VLOOKUP($D32,Original!$D:$AE,15,0),"")</f>
        <v/>
      </c>
      <c r="R32" s="64" t="str">
        <f>IFERROR(VLOOKUP($D32,Original!$D:$AE,16,0),"")</f>
        <v/>
      </c>
      <c r="S32" s="64" t="str">
        <f>IFERROR(VLOOKUP($D32,Original!$D:$AE,17,0),"")</f>
        <v/>
      </c>
      <c r="T32" s="64" t="str">
        <f>IFERROR(VLOOKUP($D32,Original!$D:$AE,18,0),"")</f>
        <v/>
      </c>
      <c r="U32" s="64" t="str">
        <f>IFERROR(VLOOKUP($D32,Original!$D:$AE,19,0),"")</f>
        <v/>
      </c>
      <c r="V32" s="64" t="str">
        <f>IFERROR(VLOOKUP($D32,Original!$D:$AE,20,0),"")</f>
        <v/>
      </c>
      <c r="W32" s="64" t="str">
        <f>IFERROR(VLOOKUP($D32,Original!$D:$AE,21,0),"")</f>
        <v/>
      </c>
      <c r="X32" s="64" t="str">
        <f>IFERROR(VLOOKUP($D32,Original!$D:$AE,22,0),"")</f>
        <v/>
      </c>
      <c r="Y32" s="65" t="str">
        <f>IFERROR(VLOOKUP($D32,Original!$D:$AE,23,0),"")</f>
        <v/>
      </c>
      <c r="Z32" s="8" t="str">
        <f>IFERROR(VLOOKUP($D32,Original!$D:$AE,124,0),"")</f>
        <v/>
      </c>
      <c r="AA32" s="8" t="str">
        <f>IFERROR(VLOOKUP($D32,Original!$D:$AE,25,0),"")</f>
        <v/>
      </c>
      <c r="AB32" s="23"/>
      <c r="AC32" s="8"/>
      <c r="AD32" s="8"/>
      <c r="AE32" s="8" t="str">
        <f t="shared" si="0"/>
        <v>TRUE</v>
      </c>
      <c r="AF32" s="1"/>
    </row>
    <row r="33" spans="1:32" x14ac:dyDescent="0.25">
      <c r="A33" s="1"/>
      <c r="B33" s="5">
        <v>2</v>
      </c>
      <c r="C33" s="5" t="str">
        <f t="shared" si="11"/>
        <v>B        FS09</v>
      </c>
      <c r="D33" s="5" t="str">
        <f t="shared" ref="D33:D34" si="12">$F$5&amp;E33&amp;" "&amp;B33</f>
        <v>B        FS09 2</v>
      </c>
      <c r="E33" s="5" t="str">
        <f>F31</f>
        <v xml:space="preserve">        FS09</v>
      </c>
      <c r="F33" s="5" t="str">
        <f>IFERROR(VLOOKUP($D33,Original!$D:$AE,4,0),"")</f>
        <v/>
      </c>
      <c r="G33" s="5" t="str">
        <f>IFERROR(VLOOKUP($D33,Original!$D:$AE,5,0),"")</f>
        <v/>
      </c>
      <c r="H33" s="5" t="str">
        <f>IFERROR(VLOOKUP($D33,Original!$D:$AE,6,0),"")</f>
        <v/>
      </c>
      <c r="I33" s="6" t="str">
        <f>IFERROR(VLOOKUP($D33,Original!$D:$AE,7,0),"")</f>
        <v/>
      </c>
      <c r="J33" s="7" t="str">
        <f>IFERROR(VLOOKUP($D33,Original!$D:$AE,8,0),"")</f>
        <v/>
      </c>
      <c r="K33" s="7" t="str">
        <f>IFERROR(VLOOKUP($D33,Original!$D:$AE,9,0),"")</f>
        <v/>
      </c>
      <c r="L33" s="8" t="str">
        <f>IFERROR(VLOOKUP($D33,Original!$D:$AE,10,0),"")</f>
        <v/>
      </c>
      <c r="M33" s="8" t="str">
        <f>IFERROR(VLOOKUP($D33,Original!$D:$AE,11,0),"")</f>
        <v/>
      </c>
      <c r="N33" s="64" t="str">
        <f>IFERROR(VLOOKUP($D33,Original!$D:$AE,12,0),"")</f>
        <v/>
      </c>
      <c r="O33" s="64" t="str">
        <f>IFERROR(VLOOKUP($D33,Original!$D:$AE,13,0),"")</f>
        <v/>
      </c>
      <c r="P33" s="64" t="str">
        <f>IFERROR(VLOOKUP($D33,Original!$D:$AE,14,0),"")</f>
        <v/>
      </c>
      <c r="Q33" s="64" t="str">
        <f>IFERROR(VLOOKUP($D33,Original!$D:$AE,15,0),"")</f>
        <v/>
      </c>
      <c r="R33" s="64" t="str">
        <f>IFERROR(VLOOKUP($D33,Original!$D:$AE,16,0),"")</f>
        <v/>
      </c>
      <c r="S33" s="64" t="str">
        <f>IFERROR(VLOOKUP($D33,Original!$D:$AE,17,0),"")</f>
        <v/>
      </c>
      <c r="T33" s="64" t="str">
        <f>IFERROR(VLOOKUP($D33,Original!$D:$AE,18,0),"")</f>
        <v/>
      </c>
      <c r="U33" s="64" t="str">
        <f>IFERROR(VLOOKUP($D33,Original!$D:$AE,19,0),"")</f>
        <v/>
      </c>
      <c r="V33" s="64" t="str">
        <f>IFERROR(VLOOKUP($D33,Original!$D:$AE,20,0),"")</f>
        <v/>
      </c>
      <c r="W33" s="64" t="str">
        <f>IFERROR(VLOOKUP($D33,Original!$D:$AE,21,0),"")</f>
        <v/>
      </c>
      <c r="X33" s="64" t="str">
        <f>IFERROR(VLOOKUP($D33,Original!$D:$AE,22,0),"")</f>
        <v/>
      </c>
      <c r="Y33" s="65" t="str">
        <f>IFERROR(VLOOKUP($D33,Original!$D:$AE,23,0),"")</f>
        <v/>
      </c>
      <c r="Z33" s="8" t="str">
        <f>IFERROR(VLOOKUP($D33,Original!$D:$AE,124,0),"")</f>
        <v/>
      </c>
      <c r="AA33" s="8" t="str">
        <f>IFERROR(VLOOKUP($D33,Original!$D:$AE,25,0),"")</f>
        <v/>
      </c>
      <c r="AB33" s="23"/>
      <c r="AC33" s="8"/>
      <c r="AD33" s="8"/>
      <c r="AE33" s="8" t="str">
        <f t="shared" si="0"/>
        <v>TRUE</v>
      </c>
      <c r="AF33" s="1"/>
    </row>
    <row r="34" spans="1:32" x14ac:dyDescent="0.25">
      <c r="A34" s="1"/>
      <c r="B34" s="5">
        <v>3</v>
      </c>
      <c r="C34" s="5" t="str">
        <f t="shared" si="11"/>
        <v>B        FS09</v>
      </c>
      <c r="D34" s="5" t="str">
        <f t="shared" si="12"/>
        <v>B        FS09 3</v>
      </c>
      <c r="E34" s="5" t="str">
        <f>F31</f>
        <v xml:space="preserve">        FS09</v>
      </c>
      <c r="F34" s="5" t="str">
        <f>IFERROR(VLOOKUP($D34,Original!$D:$AE,4,0),"")</f>
        <v/>
      </c>
      <c r="G34" s="5" t="str">
        <f>IFERROR(VLOOKUP($D34,Original!$D:$AE,5,0),"")</f>
        <v/>
      </c>
      <c r="H34" s="5" t="str">
        <f>IFERROR(VLOOKUP($D34,Original!$D:$AE,6,0),"")</f>
        <v/>
      </c>
      <c r="I34" s="6" t="str">
        <f>IFERROR(VLOOKUP($D34,Original!$D:$AE,7,0),"")</f>
        <v/>
      </c>
      <c r="J34" s="7" t="str">
        <f>IFERROR(VLOOKUP($D34,Original!$D:$AE,8,0),"")</f>
        <v/>
      </c>
      <c r="K34" s="7" t="str">
        <f>IFERROR(VLOOKUP($D34,Original!$D:$AE,9,0),"")</f>
        <v/>
      </c>
      <c r="L34" s="8" t="str">
        <f>IFERROR(VLOOKUP($D34,Original!$D:$AE,10,0),"")</f>
        <v/>
      </c>
      <c r="M34" s="8" t="str">
        <f>IFERROR(VLOOKUP($D34,Original!$D:$AE,11,0),"")</f>
        <v/>
      </c>
      <c r="N34" s="64" t="str">
        <f>IFERROR(VLOOKUP($D34,Original!$D:$AE,12,0),"")</f>
        <v/>
      </c>
      <c r="O34" s="64" t="str">
        <f>IFERROR(VLOOKUP($D34,Original!$D:$AE,13,0),"")</f>
        <v/>
      </c>
      <c r="P34" s="64" t="str">
        <f>IFERROR(VLOOKUP($D34,Original!$D:$AE,14,0),"")</f>
        <v/>
      </c>
      <c r="Q34" s="64" t="str">
        <f>IFERROR(VLOOKUP($D34,Original!$D:$AE,15,0),"")</f>
        <v/>
      </c>
      <c r="R34" s="64" t="str">
        <f>IFERROR(VLOOKUP($D34,Original!$D:$AE,16,0),"")</f>
        <v/>
      </c>
      <c r="S34" s="64" t="str">
        <f>IFERROR(VLOOKUP($D34,Original!$D:$AE,17,0),"")</f>
        <v/>
      </c>
      <c r="T34" s="64" t="str">
        <f>IFERROR(VLOOKUP($D34,Original!$D:$AE,18,0),"")</f>
        <v/>
      </c>
      <c r="U34" s="64" t="str">
        <f>IFERROR(VLOOKUP($D34,Original!$D:$AE,19,0),"")</f>
        <v/>
      </c>
      <c r="V34" s="64" t="str">
        <f>IFERROR(VLOOKUP($D34,Original!$D:$AE,20,0),"")</f>
        <v/>
      </c>
      <c r="W34" s="64" t="str">
        <f>IFERROR(VLOOKUP($D34,Original!$D:$AE,21,0),"")</f>
        <v/>
      </c>
      <c r="X34" s="64" t="str">
        <f>IFERROR(VLOOKUP($D34,Original!$D:$AE,22,0),"")</f>
        <v/>
      </c>
      <c r="Y34" s="65" t="str">
        <f>IFERROR(VLOOKUP($D34,Original!$D:$AE,23,0),"")</f>
        <v/>
      </c>
      <c r="Z34" s="8" t="str">
        <f>IFERROR(VLOOKUP($D34,Original!$D:$AE,124,0),"")</f>
        <v/>
      </c>
      <c r="AA34" s="8" t="str">
        <f>IFERROR(VLOOKUP($D34,Original!$D:$AE,25,0),"")</f>
        <v/>
      </c>
      <c r="AB34" s="23"/>
      <c r="AC34" s="8"/>
      <c r="AD34" s="8"/>
      <c r="AE34" s="8" t="str">
        <f t="shared" si="0"/>
        <v>TRUE</v>
      </c>
      <c r="AF34" s="1"/>
    </row>
    <row r="35" spans="1:32" x14ac:dyDescent="0.25">
      <c r="A35" s="1"/>
      <c r="B35" s="12"/>
      <c r="C35" s="12"/>
      <c r="D35" s="12"/>
      <c r="E35" s="12"/>
      <c r="F35" s="62" t="str">
        <f>IF(F32="","",0)</f>
        <v/>
      </c>
      <c r="G35" s="13"/>
      <c r="H35" s="34" t="str">
        <f>$F$5</f>
        <v>B</v>
      </c>
      <c r="I35" s="34" t="str">
        <f>$F$5&amp;J35</f>
        <v>B        FS09</v>
      </c>
      <c r="J35" s="67" t="str">
        <f>F31</f>
        <v xml:space="preserve">        FS09</v>
      </c>
      <c r="K35" s="67"/>
      <c r="L35" s="67" t="s">
        <v>19</v>
      </c>
      <c r="M35" s="67"/>
      <c r="N35" s="42">
        <f>SUMIF($C:$C,$I35,N:N)</f>
        <v>0</v>
      </c>
      <c r="O35" s="42">
        <f>SUMIF($C:$C,$I35,O:O)</f>
        <v>0</v>
      </c>
      <c r="P35" s="42">
        <f>SUMIF($C:$C,$I35,P:P)</f>
        <v>0</v>
      </c>
      <c r="Q35" s="42">
        <f>SUMIF($C:$C,$I35,Q:Q)</f>
        <v>0</v>
      </c>
      <c r="R35" s="42">
        <f>SUMIF($C:$C,$I35,R:R)</f>
        <v>0</v>
      </c>
      <c r="S35" s="42">
        <f>SUMIF($C:$C,$I35,S:S)</f>
        <v>0</v>
      </c>
      <c r="T35" s="42">
        <f>SUMIF($C:$C,$I35,T:T)</f>
        <v>0</v>
      </c>
      <c r="U35" s="42"/>
      <c r="V35" s="42">
        <f>SUMIF($C:$C,$I35,V:V)</f>
        <v>0</v>
      </c>
      <c r="W35" s="42">
        <f>SUMIF($C:$C,$I35,W:W)</f>
        <v>0</v>
      </c>
      <c r="X35" s="42">
        <f>SUMIF($C:$C,$I35,X:X)</f>
        <v>0</v>
      </c>
      <c r="Y35" s="26"/>
      <c r="Z35" s="26"/>
      <c r="AA35" s="27" t="e">
        <f>N35/O35*100</f>
        <v>#DIV/0!</v>
      </c>
      <c r="AB35" s="37"/>
      <c r="AC35" s="27"/>
      <c r="AD35" s="27"/>
      <c r="AE35" s="27" t="str">
        <f t="shared" si="0"/>
        <v>TRUE</v>
      </c>
      <c r="AF35" s="1"/>
    </row>
    <row r="36" spans="1:32" x14ac:dyDescent="0.25">
      <c r="A36" s="1"/>
      <c r="B36" s="14"/>
      <c r="C36" s="14"/>
      <c r="D36" s="14"/>
      <c r="E36" s="14" t="s">
        <v>22</v>
      </c>
      <c r="F36" s="15" t="s">
        <v>31</v>
      </c>
      <c r="G36" s="16" t="s">
        <v>32</v>
      </c>
      <c r="H36" s="54">
        <f>IF(H37="","DNR",0)</f>
        <v>0</v>
      </c>
      <c r="I36" s="53">
        <v>0</v>
      </c>
      <c r="J36" s="54">
        <v>0</v>
      </c>
      <c r="K36" s="54">
        <v>0</v>
      </c>
      <c r="L36" s="54">
        <v>0</v>
      </c>
      <c r="M36" s="54">
        <v>0</v>
      </c>
      <c r="N36" s="54">
        <f>IF(F37="","DNR",0)</f>
        <v>0</v>
      </c>
      <c r="O36" s="54">
        <v>0</v>
      </c>
      <c r="P36" s="54">
        <v>0</v>
      </c>
      <c r="Q36" s="54">
        <v>0</v>
      </c>
      <c r="R36" s="54">
        <v>0</v>
      </c>
      <c r="S36" s="54">
        <v>0</v>
      </c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5">
        <v>0</v>
      </c>
      <c r="AB36" s="17"/>
      <c r="AC36" s="17"/>
      <c r="AD36" s="17"/>
      <c r="AE36" s="17" t="str">
        <f t="shared" si="0"/>
        <v>FALSE</v>
      </c>
      <c r="AF36" s="1"/>
    </row>
    <row r="37" spans="1:32" x14ac:dyDescent="0.25">
      <c r="A37" s="1"/>
      <c r="B37" s="5">
        <v>1</v>
      </c>
      <c r="C37" s="5" t="str">
        <f t="shared" ref="C37:C39" si="13">$F$5&amp;E37</f>
        <v>B        FS10</v>
      </c>
      <c r="D37" s="5" t="str">
        <f>$F$5&amp;E37&amp;" "&amp;B37</f>
        <v>B        FS10 1</v>
      </c>
      <c r="E37" s="5" t="str">
        <f>F36</f>
        <v xml:space="preserve">        FS10</v>
      </c>
      <c r="F37" s="5">
        <f>IFERROR(VLOOKUP($D37,Original!$D:$AE,4,0),"")</f>
        <v>63009647</v>
      </c>
      <c r="G37" s="5" t="str">
        <f>IFERROR(VLOOKUP($D37,Original!$D:$AE,5,0),"")</f>
        <v>KAH 40 12/1L 16 US</v>
      </c>
      <c r="H37" s="5">
        <f>IFERROR(VLOOKUP($D37,Original!$D:$AE,6,0),"")</f>
        <v>409039</v>
      </c>
      <c r="I37" s="6">
        <f>IFERROR(VLOOKUP($D37,Original!$D:$AE,7,0),"")</f>
        <v>44901</v>
      </c>
      <c r="J37" s="7">
        <f>IFERROR(VLOOKUP($D37,Original!$D:$AE,8,0),"")</f>
        <v>0.20833333333333334</v>
      </c>
      <c r="K37" s="7">
        <f>IFERROR(VLOOKUP($D37,Original!$D:$AE,9,0),"")</f>
        <v>0.64583333333333337</v>
      </c>
      <c r="L37" s="8">
        <f>IFERROR(VLOOKUP($D37,Original!$D:$AE,10,0),"")</f>
        <v>10</v>
      </c>
      <c r="M37" s="8">
        <f>IFERROR(VLOOKUP($D37,Original!$D:$AE,11,0),"")</f>
        <v>7</v>
      </c>
      <c r="N37" s="64">
        <f>IFERROR(VLOOKUP($D37,Original!$D:$AE,12,0),"")</f>
        <v>4747</v>
      </c>
      <c r="O37" s="64">
        <f>IFERROR(VLOOKUP($D37,Original!$D:$AE,13,0),"")</f>
        <v>11875</v>
      </c>
      <c r="P37" s="64">
        <f>IFERROR(VLOOKUP($D37,Original!$D:$AE,14,0),"")</f>
        <v>630</v>
      </c>
      <c r="Q37" s="64">
        <f>IFERROR(VLOOKUP($D37,Original!$D:$AE,15,0),"")</f>
        <v>35</v>
      </c>
      <c r="R37" s="64">
        <f>IFERROR(VLOOKUP($D37,Original!$D:$AE,16,0),"")</f>
        <v>0</v>
      </c>
      <c r="S37" s="64">
        <f>IFERROR(VLOOKUP($D37,Original!$D:$AE,17,0),"")</f>
        <v>0</v>
      </c>
      <c r="T37" s="64">
        <f>IFERROR(VLOOKUP($D37,Original!$D:$AE,18,0),"")</f>
        <v>25</v>
      </c>
      <c r="U37" s="64">
        <f>IFERROR(VLOOKUP($D37,Original!$D:$AE,19,0),"")</f>
        <v>0</v>
      </c>
      <c r="V37" s="64">
        <f>IFERROR(VLOOKUP($D37,Original!$D:$AE,20,0),"")</f>
        <v>0</v>
      </c>
      <c r="W37" s="64">
        <f>IFERROR(VLOOKUP($D37,Original!$D:$AE,21,0),"")</f>
        <v>14</v>
      </c>
      <c r="X37" s="64">
        <f>IFERROR(VLOOKUP($D37,Original!$D:$AE,22,0),"")</f>
        <v>570</v>
      </c>
      <c r="Y37" s="65">
        <f>IFERROR(VLOOKUP($D37,Original!$D:$AE,23,0),"")</f>
        <v>250</v>
      </c>
      <c r="Z37" s="8" t="str">
        <f>IFERROR(VLOOKUP($D37,Original!$D:$AE,124,0),"")</f>
        <v/>
      </c>
      <c r="AA37" s="8">
        <f>IFERROR(VLOOKUP($D37,Original!$D:$AE,25,0),"")</f>
        <v>39.97</v>
      </c>
      <c r="AB37" s="23"/>
      <c r="AC37" s="8"/>
      <c r="AD37" s="8"/>
      <c r="AE37" s="8" t="str">
        <f t="shared" si="0"/>
        <v>FALSE</v>
      </c>
      <c r="AF37" s="1"/>
    </row>
    <row r="38" spans="1:32" x14ac:dyDescent="0.25">
      <c r="A38" s="1"/>
      <c r="B38" s="5">
        <v>2</v>
      </c>
      <c r="C38" s="5" t="str">
        <f t="shared" si="13"/>
        <v>B        FS10</v>
      </c>
      <c r="D38" s="5" t="str">
        <f t="shared" ref="D38:D39" si="14">$F$5&amp;E38&amp;" "&amp;B38</f>
        <v>B        FS10 2</v>
      </c>
      <c r="E38" s="5" t="str">
        <f>F36</f>
        <v xml:space="preserve">        FS10</v>
      </c>
      <c r="F38" s="5" t="str">
        <f>IFERROR(VLOOKUP($D38,Original!$D:$AE,4,0),"")</f>
        <v/>
      </c>
      <c r="G38" s="5" t="str">
        <f>IFERROR(VLOOKUP($D38,Original!$D:$AE,5,0),"")</f>
        <v/>
      </c>
      <c r="H38" s="5" t="str">
        <f>IFERROR(VLOOKUP($D38,Original!$D:$AE,6,0),"")</f>
        <v/>
      </c>
      <c r="I38" s="6" t="str">
        <f>IFERROR(VLOOKUP($D38,Original!$D:$AE,7,0),"")</f>
        <v/>
      </c>
      <c r="J38" s="7" t="str">
        <f>IFERROR(VLOOKUP($D38,Original!$D:$AE,8,0),"")</f>
        <v/>
      </c>
      <c r="K38" s="7" t="str">
        <f>IFERROR(VLOOKUP($D38,Original!$D:$AE,9,0),"")</f>
        <v/>
      </c>
      <c r="L38" s="8" t="str">
        <f>IFERROR(VLOOKUP($D38,Original!$D:$AE,10,0),"")</f>
        <v/>
      </c>
      <c r="M38" s="8" t="str">
        <f>IFERROR(VLOOKUP($D38,Original!$D:$AE,11,0),"")</f>
        <v/>
      </c>
      <c r="N38" s="64" t="str">
        <f>IFERROR(VLOOKUP($D38,Original!$D:$AE,12,0),"")</f>
        <v/>
      </c>
      <c r="O38" s="64" t="str">
        <f>IFERROR(VLOOKUP($D38,Original!$D:$AE,13,0),"")</f>
        <v/>
      </c>
      <c r="P38" s="64" t="str">
        <f>IFERROR(VLOOKUP($D38,Original!$D:$AE,14,0),"")</f>
        <v/>
      </c>
      <c r="Q38" s="64" t="str">
        <f>IFERROR(VLOOKUP($D38,Original!$D:$AE,15,0),"")</f>
        <v/>
      </c>
      <c r="R38" s="64" t="str">
        <f>IFERROR(VLOOKUP($D38,Original!$D:$AE,16,0),"")</f>
        <v/>
      </c>
      <c r="S38" s="64" t="str">
        <f>IFERROR(VLOOKUP($D38,Original!$D:$AE,17,0),"")</f>
        <v/>
      </c>
      <c r="T38" s="64" t="str">
        <f>IFERROR(VLOOKUP($D38,Original!$D:$AE,18,0),"")</f>
        <v/>
      </c>
      <c r="U38" s="64" t="str">
        <f>IFERROR(VLOOKUP($D38,Original!$D:$AE,19,0),"")</f>
        <v/>
      </c>
      <c r="V38" s="64" t="str">
        <f>IFERROR(VLOOKUP($D38,Original!$D:$AE,20,0),"")</f>
        <v/>
      </c>
      <c r="W38" s="64" t="str">
        <f>IFERROR(VLOOKUP($D38,Original!$D:$AE,21,0),"")</f>
        <v/>
      </c>
      <c r="X38" s="64" t="str">
        <f>IFERROR(VLOOKUP($D38,Original!$D:$AE,22,0),"")</f>
        <v/>
      </c>
      <c r="Y38" s="65" t="str">
        <f>IFERROR(VLOOKUP($D38,Original!$D:$AE,23,0),"")</f>
        <v/>
      </c>
      <c r="Z38" s="8" t="str">
        <f>IFERROR(VLOOKUP($D38,Original!$D:$AE,124,0),"")</f>
        <v/>
      </c>
      <c r="AA38" s="8" t="str">
        <f>IFERROR(VLOOKUP($D38,Original!$D:$AE,25,0),"")</f>
        <v/>
      </c>
      <c r="AB38" s="23"/>
      <c r="AC38" s="8"/>
      <c r="AD38" s="8"/>
      <c r="AE38" s="8" t="str">
        <f t="shared" si="0"/>
        <v>TRUE</v>
      </c>
      <c r="AF38" s="1"/>
    </row>
    <row r="39" spans="1:32" x14ac:dyDescent="0.25">
      <c r="A39" s="1"/>
      <c r="B39" s="5">
        <v>3</v>
      </c>
      <c r="C39" s="5" t="str">
        <f t="shared" si="13"/>
        <v>B        FS10</v>
      </c>
      <c r="D39" s="5" t="str">
        <f t="shared" si="14"/>
        <v>B        FS10 3</v>
      </c>
      <c r="E39" s="5" t="str">
        <f>F36</f>
        <v xml:space="preserve">        FS10</v>
      </c>
      <c r="F39" s="5" t="str">
        <f>IFERROR(VLOOKUP($D39,Original!$D:$AE,4,0),"")</f>
        <v/>
      </c>
      <c r="G39" s="5" t="str">
        <f>IFERROR(VLOOKUP($D39,Original!$D:$AE,5,0),"")</f>
        <v/>
      </c>
      <c r="H39" s="5" t="str">
        <f>IFERROR(VLOOKUP($D39,Original!$D:$AE,6,0),"")</f>
        <v/>
      </c>
      <c r="I39" s="6" t="str">
        <f>IFERROR(VLOOKUP($D39,Original!$D:$AE,7,0),"")</f>
        <v/>
      </c>
      <c r="J39" s="7" t="str">
        <f>IFERROR(VLOOKUP($D39,Original!$D:$AE,8,0),"")</f>
        <v/>
      </c>
      <c r="K39" s="7" t="str">
        <f>IFERROR(VLOOKUP($D39,Original!$D:$AE,9,0),"")</f>
        <v/>
      </c>
      <c r="L39" s="8" t="str">
        <f>IFERROR(VLOOKUP($D39,Original!$D:$AE,10,0),"")</f>
        <v/>
      </c>
      <c r="M39" s="8" t="str">
        <f>IFERROR(VLOOKUP($D39,Original!$D:$AE,11,0),"")</f>
        <v/>
      </c>
      <c r="N39" s="64" t="str">
        <f>IFERROR(VLOOKUP($D39,Original!$D:$AE,12,0),"")</f>
        <v/>
      </c>
      <c r="O39" s="64" t="str">
        <f>IFERROR(VLOOKUP($D39,Original!$D:$AE,13,0),"")</f>
        <v/>
      </c>
      <c r="P39" s="64" t="str">
        <f>IFERROR(VLOOKUP($D39,Original!$D:$AE,14,0),"")</f>
        <v/>
      </c>
      <c r="Q39" s="64" t="str">
        <f>IFERROR(VLOOKUP($D39,Original!$D:$AE,15,0),"")</f>
        <v/>
      </c>
      <c r="R39" s="64" t="str">
        <f>IFERROR(VLOOKUP($D39,Original!$D:$AE,16,0),"")</f>
        <v/>
      </c>
      <c r="S39" s="64" t="str">
        <f>IFERROR(VLOOKUP($D39,Original!$D:$AE,17,0),"")</f>
        <v/>
      </c>
      <c r="T39" s="64" t="str">
        <f>IFERROR(VLOOKUP($D39,Original!$D:$AE,18,0),"")</f>
        <v/>
      </c>
      <c r="U39" s="64" t="str">
        <f>IFERROR(VLOOKUP($D39,Original!$D:$AE,19,0),"")</f>
        <v/>
      </c>
      <c r="V39" s="64" t="str">
        <f>IFERROR(VLOOKUP($D39,Original!$D:$AE,20,0),"")</f>
        <v/>
      </c>
      <c r="W39" s="64" t="str">
        <f>IFERROR(VLOOKUP($D39,Original!$D:$AE,21,0),"")</f>
        <v/>
      </c>
      <c r="X39" s="64" t="str">
        <f>IFERROR(VLOOKUP($D39,Original!$D:$AE,22,0),"")</f>
        <v/>
      </c>
      <c r="Y39" s="65" t="str">
        <f>IFERROR(VLOOKUP($D39,Original!$D:$AE,23,0),"")</f>
        <v/>
      </c>
      <c r="Z39" s="8" t="str">
        <f>IFERROR(VLOOKUP($D39,Original!$D:$AE,124,0),"")</f>
        <v/>
      </c>
      <c r="AA39" s="8" t="str">
        <f>IFERROR(VLOOKUP($D39,Original!$D:$AE,25,0),"")</f>
        <v/>
      </c>
      <c r="AB39" s="23"/>
      <c r="AC39" s="8"/>
      <c r="AD39" s="8"/>
      <c r="AE39" s="8" t="str">
        <f t="shared" si="0"/>
        <v>TRUE</v>
      </c>
      <c r="AF39" s="1"/>
    </row>
    <row r="40" spans="1:32" x14ac:dyDescent="0.25">
      <c r="A40" s="1"/>
      <c r="B40" s="12"/>
      <c r="C40" s="12"/>
      <c r="D40" s="12"/>
      <c r="E40" s="12"/>
      <c r="F40" s="62">
        <f>IF(F37="","",0)</f>
        <v>0</v>
      </c>
      <c r="G40" s="13"/>
      <c r="H40" s="34" t="str">
        <f>$F$5</f>
        <v>B</v>
      </c>
      <c r="I40" s="34" t="str">
        <f>$F$5&amp;J40</f>
        <v>B        FS10</v>
      </c>
      <c r="J40" s="67" t="str">
        <f>F36</f>
        <v xml:space="preserve">        FS10</v>
      </c>
      <c r="K40" s="67"/>
      <c r="L40" s="67" t="s">
        <v>19</v>
      </c>
      <c r="M40" s="67"/>
      <c r="N40" s="42">
        <f>SUMIF($C:$C,$I40,N:N)</f>
        <v>4747</v>
      </c>
      <c r="O40" s="42">
        <f>SUMIF($C:$C,$I40,O:O)</f>
        <v>11875</v>
      </c>
      <c r="P40" s="42">
        <f>SUMIF($C:$C,$I40,P:P)</f>
        <v>630</v>
      </c>
      <c r="Q40" s="42">
        <f>SUMIF($C:$C,$I40,Q:Q)</f>
        <v>35</v>
      </c>
      <c r="R40" s="42">
        <f>SUMIF($C:$C,$I40,R:R)</f>
        <v>0</v>
      </c>
      <c r="S40" s="42">
        <f>SUMIF($C:$C,$I40,S:S)</f>
        <v>0</v>
      </c>
      <c r="T40" s="42">
        <f>SUMIF($C:$C,$I40,T:T)</f>
        <v>25</v>
      </c>
      <c r="U40" s="42"/>
      <c r="V40" s="42">
        <f>SUMIF($C:$C,$I40,V:V)</f>
        <v>0</v>
      </c>
      <c r="W40" s="42">
        <f>SUMIF($C:$C,$I40,W:W)</f>
        <v>14</v>
      </c>
      <c r="X40" s="42">
        <f>SUMIF($C:$C,$I40,X:X)</f>
        <v>570</v>
      </c>
      <c r="Y40" s="26"/>
      <c r="Z40" s="26"/>
      <c r="AA40" s="27">
        <f>N40/O40*100</f>
        <v>39.974736842105266</v>
      </c>
      <c r="AB40" s="37"/>
      <c r="AC40" s="27"/>
      <c r="AD40" s="27"/>
      <c r="AE40" s="27" t="str">
        <f t="shared" si="0"/>
        <v>FALSE</v>
      </c>
      <c r="AF40" s="1"/>
    </row>
    <row r="41" spans="1:32" x14ac:dyDescent="0.25">
      <c r="A41" s="1"/>
      <c r="B41" s="14"/>
      <c r="C41" s="14"/>
      <c r="D41" s="14"/>
      <c r="E41" s="14" t="s">
        <v>22</v>
      </c>
      <c r="F41" s="15" t="s">
        <v>33</v>
      </c>
      <c r="G41" s="16" t="s">
        <v>34</v>
      </c>
      <c r="H41" s="54">
        <f>IF(H42="","DNR",0)</f>
        <v>0</v>
      </c>
      <c r="I41" s="53">
        <v>0</v>
      </c>
      <c r="J41" s="54">
        <v>0</v>
      </c>
      <c r="K41" s="54">
        <v>0</v>
      </c>
      <c r="L41" s="54">
        <v>0</v>
      </c>
      <c r="M41" s="54">
        <v>0</v>
      </c>
      <c r="N41" s="54">
        <f>IF(F42="","DNR",0)</f>
        <v>0</v>
      </c>
      <c r="O41" s="54">
        <v>0</v>
      </c>
      <c r="P41" s="54">
        <v>0</v>
      </c>
      <c r="Q41" s="54">
        <v>0</v>
      </c>
      <c r="R41" s="54">
        <v>0</v>
      </c>
      <c r="S41" s="54">
        <v>0</v>
      </c>
      <c r="T41" s="54">
        <v>0</v>
      </c>
      <c r="U41" s="54">
        <v>0</v>
      </c>
      <c r="V41" s="54">
        <v>0</v>
      </c>
      <c r="W41" s="54">
        <v>0</v>
      </c>
      <c r="X41" s="54">
        <v>0</v>
      </c>
      <c r="Y41" s="54">
        <v>0</v>
      </c>
      <c r="Z41" s="54">
        <v>0</v>
      </c>
      <c r="AA41" s="55">
        <v>0</v>
      </c>
      <c r="AB41" s="17"/>
      <c r="AC41" s="17"/>
      <c r="AD41" s="17"/>
      <c r="AE41" s="17" t="str">
        <f t="shared" si="0"/>
        <v>FALSE</v>
      </c>
      <c r="AF41" s="1"/>
    </row>
    <row r="42" spans="1:32" x14ac:dyDescent="0.25">
      <c r="A42" s="1"/>
      <c r="B42" s="5">
        <v>1</v>
      </c>
      <c r="C42" s="5" t="str">
        <f>$F$5&amp;E42</f>
        <v>B        FS12</v>
      </c>
      <c r="D42" s="5" t="str">
        <f>$F$5&amp;E42&amp;" "&amp;B42</f>
        <v>B        FS12 1</v>
      </c>
      <c r="E42" s="5" t="str">
        <f>F41</f>
        <v xml:space="preserve">        FS12</v>
      </c>
      <c r="F42" s="5">
        <f>IFERROR(VLOOKUP($D42,Original!$D:$AE,4,0),"")</f>
        <v>63012825</v>
      </c>
      <c r="G42" s="5" t="str">
        <f>IFERROR(VLOOKUP($D42,Original!$D:$AE,5,0),"")</f>
        <v>KAH 32 6/1.75L PT 20 CA</v>
      </c>
      <c r="H42" s="5">
        <f>IFERROR(VLOOKUP($D42,Original!$D:$AE,6,0),"")</f>
        <v>409092</v>
      </c>
      <c r="I42" s="6">
        <f>IFERROR(VLOOKUP($D42,Original!$D:$AE,7,0),"")</f>
        <v>44901</v>
      </c>
      <c r="J42" s="7">
        <f>IFERROR(VLOOKUP($D42,Original!$D:$AE,8,0),"")</f>
        <v>0.20833333333333334</v>
      </c>
      <c r="K42" s="7">
        <f>IFERROR(VLOOKUP($D42,Original!$D:$AE,9,0),"")</f>
        <v>0.64583333333333337</v>
      </c>
      <c r="L42" s="8">
        <f>IFERROR(VLOOKUP($D42,Original!$D:$AE,10,0),"")</f>
        <v>4</v>
      </c>
      <c r="M42" s="8">
        <f>IFERROR(VLOOKUP($D42,Original!$D:$AE,11,0),"")</f>
        <v>5</v>
      </c>
      <c r="N42" s="64">
        <f>IFERROR(VLOOKUP($D42,Original!$D:$AE,12,0),"")</f>
        <v>1207</v>
      </c>
      <c r="O42" s="64">
        <f>IFERROR(VLOOKUP($D42,Original!$D:$AE,13,0),"")</f>
        <v>10175</v>
      </c>
      <c r="P42" s="64">
        <f>IFERROR(VLOOKUP($D42,Original!$D:$AE,14,0),"")</f>
        <v>630</v>
      </c>
      <c r="Q42" s="64">
        <f>IFERROR(VLOOKUP($D42,Original!$D:$AE,15,0),"")</f>
        <v>30</v>
      </c>
      <c r="R42" s="64">
        <f>IFERROR(VLOOKUP($D42,Original!$D:$AE,16,0),"")</f>
        <v>0</v>
      </c>
      <c r="S42" s="64">
        <f>IFERROR(VLOOKUP($D42,Original!$D:$AE,17,0),"")</f>
        <v>45</v>
      </c>
      <c r="T42" s="64">
        <f>IFERROR(VLOOKUP($D42,Original!$D:$AE,18,0),"")</f>
        <v>0</v>
      </c>
      <c r="U42" s="64">
        <f>IFERROR(VLOOKUP($D42,Original!$D:$AE,19,0),"")</f>
        <v>0</v>
      </c>
      <c r="V42" s="64">
        <f>IFERROR(VLOOKUP($D42,Original!$D:$AE,20,0),"")</f>
        <v>3</v>
      </c>
      <c r="W42" s="64">
        <f>IFERROR(VLOOKUP($D42,Original!$D:$AE,21,0),"")</f>
        <v>10</v>
      </c>
      <c r="X42" s="64">
        <f>IFERROR(VLOOKUP($D42,Original!$D:$AE,22,0),"")</f>
        <v>555</v>
      </c>
      <c r="Y42" s="65">
        <f>IFERROR(VLOOKUP($D42,Original!$D:$AE,23,0),"")</f>
        <v>110</v>
      </c>
      <c r="Z42" s="8" t="str">
        <f>IFERROR(VLOOKUP($D42,Original!$D:$AE,124,0),"")</f>
        <v/>
      </c>
      <c r="AA42" s="8">
        <f>IFERROR(VLOOKUP($D42,Original!$D:$AE,25,0),"")</f>
        <v>11.86</v>
      </c>
      <c r="AB42" s="23"/>
      <c r="AC42" s="8"/>
      <c r="AD42" s="8"/>
      <c r="AE42" s="8" t="str">
        <f t="shared" si="0"/>
        <v>FALSE</v>
      </c>
      <c r="AF42" s="1"/>
    </row>
    <row r="43" spans="1:32" x14ac:dyDescent="0.25">
      <c r="A43" s="1"/>
      <c r="B43" s="5">
        <v>2</v>
      </c>
      <c r="C43" s="5" t="str">
        <f t="shared" ref="C43:C44" si="15">$F$5&amp;E43</f>
        <v>B        FS12</v>
      </c>
      <c r="D43" s="5" t="str">
        <f t="shared" ref="D43:D44" si="16">$F$5&amp;E43&amp;" "&amp;B43</f>
        <v>B        FS12 2</v>
      </c>
      <c r="E43" s="5" t="str">
        <f>F41</f>
        <v xml:space="preserve">        FS12</v>
      </c>
      <c r="F43" s="5" t="str">
        <f>IFERROR(VLOOKUP($D43,Original!$D:$AE,4,0),"")</f>
        <v/>
      </c>
      <c r="G43" s="5" t="str">
        <f>IFERROR(VLOOKUP($D43,Original!$D:$AE,5,0),"")</f>
        <v/>
      </c>
      <c r="H43" s="5" t="str">
        <f>IFERROR(VLOOKUP($D43,Original!$D:$AE,6,0),"")</f>
        <v/>
      </c>
      <c r="I43" s="6" t="str">
        <f>IFERROR(VLOOKUP($D43,Original!$D:$AE,7,0),"")</f>
        <v/>
      </c>
      <c r="J43" s="7" t="str">
        <f>IFERROR(VLOOKUP($D43,Original!$D:$AE,8,0),"")</f>
        <v/>
      </c>
      <c r="K43" s="7" t="str">
        <f>IFERROR(VLOOKUP($D43,Original!$D:$AE,9,0),"")</f>
        <v/>
      </c>
      <c r="L43" s="8" t="str">
        <f>IFERROR(VLOOKUP($D43,Original!$D:$AE,10,0),"")</f>
        <v/>
      </c>
      <c r="M43" s="8" t="str">
        <f>IFERROR(VLOOKUP($D43,Original!$D:$AE,11,0),"")</f>
        <v/>
      </c>
      <c r="N43" s="64" t="str">
        <f>IFERROR(VLOOKUP($D43,Original!$D:$AE,12,0),"")</f>
        <v/>
      </c>
      <c r="O43" s="64" t="str">
        <f>IFERROR(VLOOKUP($D43,Original!$D:$AE,13,0),"")</f>
        <v/>
      </c>
      <c r="P43" s="64" t="str">
        <f>IFERROR(VLOOKUP($D43,Original!$D:$AE,14,0),"")</f>
        <v/>
      </c>
      <c r="Q43" s="64" t="str">
        <f>IFERROR(VLOOKUP($D43,Original!$D:$AE,15,0),"")</f>
        <v/>
      </c>
      <c r="R43" s="64" t="str">
        <f>IFERROR(VLOOKUP($D43,Original!$D:$AE,16,0),"")</f>
        <v/>
      </c>
      <c r="S43" s="64" t="str">
        <f>IFERROR(VLOOKUP($D43,Original!$D:$AE,17,0),"")</f>
        <v/>
      </c>
      <c r="T43" s="64" t="str">
        <f>IFERROR(VLOOKUP($D43,Original!$D:$AE,18,0),"")</f>
        <v/>
      </c>
      <c r="U43" s="64" t="str">
        <f>IFERROR(VLOOKUP($D43,Original!$D:$AE,19,0),"")</f>
        <v/>
      </c>
      <c r="V43" s="64" t="str">
        <f>IFERROR(VLOOKUP($D43,Original!$D:$AE,20,0),"")</f>
        <v/>
      </c>
      <c r="W43" s="64" t="str">
        <f>IFERROR(VLOOKUP($D43,Original!$D:$AE,21,0),"")</f>
        <v/>
      </c>
      <c r="X43" s="64" t="str">
        <f>IFERROR(VLOOKUP($D43,Original!$D:$AE,22,0),"")</f>
        <v/>
      </c>
      <c r="Y43" s="65" t="str">
        <f>IFERROR(VLOOKUP($D43,Original!$D:$AE,23,0),"")</f>
        <v/>
      </c>
      <c r="Z43" s="8" t="str">
        <f>IFERROR(VLOOKUP($D43,Original!$D:$AE,124,0),"")</f>
        <v/>
      </c>
      <c r="AA43" s="8" t="str">
        <f>IFERROR(VLOOKUP($D43,Original!$D:$AE,25,0),"")</f>
        <v/>
      </c>
      <c r="AB43" s="23"/>
      <c r="AC43" s="8"/>
      <c r="AD43" s="8"/>
      <c r="AE43" s="8" t="str">
        <f t="shared" si="0"/>
        <v>TRUE</v>
      </c>
      <c r="AF43" s="1"/>
    </row>
    <row r="44" spans="1:32" x14ac:dyDescent="0.25">
      <c r="A44" s="1"/>
      <c r="B44" s="5">
        <v>3</v>
      </c>
      <c r="C44" s="5" t="str">
        <f t="shared" si="15"/>
        <v>B        FS12</v>
      </c>
      <c r="D44" s="5" t="str">
        <f t="shared" si="16"/>
        <v>B        FS12 3</v>
      </c>
      <c r="E44" s="5" t="str">
        <f>F41</f>
        <v xml:space="preserve">        FS12</v>
      </c>
      <c r="F44" s="5" t="str">
        <f>IFERROR(VLOOKUP($D44,Original!$D:$AE,4,0),"")</f>
        <v/>
      </c>
      <c r="G44" s="5" t="str">
        <f>IFERROR(VLOOKUP($D44,Original!$D:$AE,5,0),"")</f>
        <v/>
      </c>
      <c r="H44" s="5" t="str">
        <f>IFERROR(VLOOKUP($D44,Original!$D:$AE,6,0),"")</f>
        <v/>
      </c>
      <c r="I44" s="6" t="str">
        <f>IFERROR(VLOOKUP($D44,Original!$D:$AE,7,0),"")</f>
        <v/>
      </c>
      <c r="J44" s="7" t="str">
        <f>IFERROR(VLOOKUP($D44,Original!$D:$AE,8,0),"")</f>
        <v/>
      </c>
      <c r="K44" s="7" t="str">
        <f>IFERROR(VLOOKUP($D44,Original!$D:$AE,9,0),"")</f>
        <v/>
      </c>
      <c r="L44" s="8" t="str">
        <f>IFERROR(VLOOKUP($D44,Original!$D:$AE,10,0),"")</f>
        <v/>
      </c>
      <c r="M44" s="8" t="str">
        <f>IFERROR(VLOOKUP($D44,Original!$D:$AE,11,0),"")</f>
        <v/>
      </c>
      <c r="N44" s="64" t="str">
        <f>IFERROR(VLOOKUP($D44,Original!$D:$AE,12,0),"")</f>
        <v/>
      </c>
      <c r="O44" s="64" t="str">
        <f>IFERROR(VLOOKUP($D44,Original!$D:$AE,13,0),"")</f>
        <v/>
      </c>
      <c r="P44" s="64" t="str">
        <f>IFERROR(VLOOKUP($D44,Original!$D:$AE,14,0),"")</f>
        <v/>
      </c>
      <c r="Q44" s="64" t="str">
        <f>IFERROR(VLOOKUP($D44,Original!$D:$AE,15,0),"")</f>
        <v/>
      </c>
      <c r="R44" s="64" t="str">
        <f>IFERROR(VLOOKUP($D44,Original!$D:$AE,16,0),"")</f>
        <v/>
      </c>
      <c r="S44" s="64" t="str">
        <f>IFERROR(VLOOKUP($D44,Original!$D:$AE,17,0),"")</f>
        <v/>
      </c>
      <c r="T44" s="64" t="str">
        <f>IFERROR(VLOOKUP($D44,Original!$D:$AE,18,0),"")</f>
        <v/>
      </c>
      <c r="U44" s="64" t="str">
        <f>IFERROR(VLOOKUP($D44,Original!$D:$AE,19,0),"")</f>
        <v/>
      </c>
      <c r="V44" s="64" t="str">
        <f>IFERROR(VLOOKUP($D44,Original!$D:$AE,20,0),"")</f>
        <v/>
      </c>
      <c r="W44" s="64" t="str">
        <f>IFERROR(VLOOKUP($D44,Original!$D:$AE,21,0),"")</f>
        <v/>
      </c>
      <c r="X44" s="64" t="str">
        <f>IFERROR(VLOOKUP($D44,Original!$D:$AE,22,0),"")</f>
        <v/>
      </c>
      <c r="Y44" s="65" t="str">
        <f>IFERROR(VLOOKUP($D44,Original!$D:$AE,23,0),"")</f>
        <v/>
      </c>
      <c r="Z44" s="8" t="str">
        <f>IFERROR(VLOOKUP($D44,Original!$D:$AE,124,0),"")</f>
        <v/>
      </c>
      <c r="AA44" s="8" t="str">
        <f>IFERROR(VLOOKUP($D44,Original!$D:$AE,25,0),"")</f>
        <v/>
      </c>
      <c r="AB44" s="23"/>
      <c r="AC44" s="8"/>
      <c r="AD44" s="8"/>
      <c r="AE44" s="8" t="str">
        <f t="shared" si="0"/>
        <v>TRUE</v>
      </c>
      <c r="AF44" s="1"/>
    </row>
    <row r="45" spans="1:32" x14ac:dyDescent="0.25">
      <c r="A45" s="1"/>
      <c r="B45" s="12"/>
      <c r="C45" s="12"/>
      <c r="D45" s="12"/>
      <c r="E45" s="12"/>
      <c r="F45" s="62">
        <f>IF(F42="","",0)</f>
        <v>0</v>
      </c>
      <c r="G45" s="13"/>
      <c r="H45" s="34" t="str">
        <f>$F$5</f>
        <v>B</v>
      </c>
      <c r="I45" s="34" t="str">
        <f>$F$5&amp;J45</f>
        <v>B        FS12</v>
      </c>
      <c r="J45" s="67" t="str">
        <f>F41</f>
        <v xml:space="preserve">        FS12</v>
      </c>
      <c r="K45" s="67"/>
      <c r="L45" s="67" t="s">
        <v>19</v>
      </c>
      <c r="M45" s="67"/>
      <c r="N45" s="42">
        <f>SUMIF($C:$C,$I45,N:N)</f>
        <v>1207</v>
      </c>
      <c r="O45" s="42">
        <f>SUMIF($C:$C,$I45,O:O)</f>
        <v>10175</v>
      </c>
      <c r="P45" s="42">
        <f>SUMIF($C:$C,$I45,P:P)</f>
        <v>630</v>
      </c>
      <c r="Q45" s="42">
        <f>SUMIF($C:$C,$I45,Q:Q)</f>
        <v>30</v>
      </c>
      <c r="R45" s="42">
        <f>SUMIF($C:$C,$I45,R:R)</f>
        <v>0</v>
      </c>
      <c r="S45" s="42">
        <f>SUMIF($C:$C,$I45,S:S)</f>
        <v>45</v>
      </c>
      <c r="T45" s="42">
        <f>SUMIF($C:$C,$I45,T:T)</f>
        <v>0</v>
      </c>
      <c r="U45" s="42"/>
      <c r="V45" s="42">
        <f>SUMIF($C:$C,$I45,V:V)</f>
        <v>3</v>
      </c>
      <c r="W45" s="42">
        <f>SUMIF($C:$C,$I45,W:W)</f>
        <v>10</v>
      </c>
      <c r="X45" s="42">
        <f>SUMIF($C:$C,$I45,X:X)</f>
        <v>555</v>
      </c>
      <c r="Y45" s="26"/>
      <c r="Z45" s="26"/>
      <c r="AA45" s="27">
        <f>N45/O45*100</f>
        <v>11.862407862407863</v>
      </c>
      <c r="AB45" s="37"/>
      <c r="AC45" s="27"/>
      <c r="AD45" s="27"/>
      <c r="AE45" s="27" t="str">
        <f t="shared" si="0"/>
        <v>FALSE</v>
      </c>
      <c r="AF45" s="1"/>
    </row>
    <row r="46" spans="1:32" x14ac:dyDescent="0.25">
      <c r="A46" s="1"/>
      <c r="B46" s="14"/>
      <c r="C46" s="14"/>
      <c r="D46" s="14"/>
      <c r="E46" s="14" t="s">
        <v>22</v>
      </c>
      <c r="F46" s="15" t="s">
        <v>114</v>
      </c>
      <c r="G46" s="16" t="s">
        <v>118</v>
      </c>
      <c r="H46" s="54">
        <f>IF(H47="","DNR",0)</f>
        <v>0</v>
      </c>
      <c r="I46" s="53">
        <v>0</v>
      </c>
      <c r="J46" s="54">
        <v>0</v>
      </c>
      <c r="K46" s="54">
        <v>0</v>
      </c>
      <c r="L46" s="54">
        <v>0</v>
      </c>
      <c r="M46" s="54">
        <v>0</v>
      </c>
      <c r="N46" s="54">
        <f>IF(F47="","DNR",0)</f>
        <v>0</v>
      </c>
      <c r="O46" s="54">
        <v>0</v>
      </c>
      <c r="P46" s="54">
        <v>0</v>
      </c>
      <c r="Q46" s="54">
        <v>0</v>
      </c>
      <c r="R46" s="54">
        <v>0</v>
      </c>
      <c r="S46" s="54">
        <v>0</v>
      </c>
      <c r="T46" s="54">
        <v>0</v>
      </c>
      <c r="U46" s="54">
        <v>0</v>
      </c>
      <c r="V46" s="54">
        <v>0</v>
      </c>
      <c r="W46" s="54">
        <v>0</v>
      </c>
      <c r="X46" s="54">
        <v>0</v>
      </c>
      <c r="Y46" s="54">
        <v>0</v>
      </c>
      <c r="Z46" s="54">
        <v>0</v>
      </c>
      <c r="AA46" s="55">
        <v>0</v>
      </c>
      <c r="AB46" s="17"/>
      <c r="AC46" s="17"/>
      <c r="AD46" s="17"/>
      <c r="AE46" s="17" t="str">
        <f t="shared" ref="AE46:AE50" si="17">IF(OR(F46="",H46="DNR"), "TRUE", "FALSE")</f>
        <v>FALSE</v>
      </c>
      <c r="AF46" s="1"/>
    </row>
    <row r="47" spans="1:32" x14ac:dyDescent="0.25">
      <c r="A47" s="1"/>
      <c r="B47" s="5">
        <v>1</v>
      </c>
      <c r="C47" s="5" t="str">
        <f>$F$5&amp;E47</f>
        <v>B        FS14</v>
      </c>
      <c r="D47" s="5" t="str">
        <f>$F$5&amp;E47&amp;" "&amp;B47</f>
        <v>B        FS14 1</v>
      </c>
      <c r="E47" s="5" t="str">
        <f>F46</f>
        <v xml:space="preserve">        FS14</v>
      </c>
      <c r="F47" s="5">
        <f>IFERROR(VLOOKUP($D47,Original!$D:$AE,4,0),"")</f>
        <v>65119005</v>
      </c>
      <c r="G47" s="5" t="str">
        <f>IFERROR(VLOOKUP($D47,Original!$D:$AE,5,0),"")</f>
        <v>JAMESON GNGER LM 12 24/355NWUS</v>
      </c>
      <c r="H47" s="5">
        <f>IFERROR(VLOOKUP($D47,Original!$D:$AE,6,0),"")</f>
        <v>409116</v>
      </c>
      <c r="I47" s="6">
        <f>IFERROR(VLOOKUP($D47,Original!$D:$AE,7,0),"")</f>
        <v>44901</v>
      </c>
      <c r="J47" s="7">
        <f>IFERROR(VLOOKUP($D47,Original!$D:$AE,8,0),"")</f>
        <v>0.33333333333333331</v>
      </c>
      <c r="K47" s="7">
        <f>IFERROR(VLOOKUP($D47,Original!$D:$AE,9,0),"")</f>
        <v>0.58333333333333337</v>
      </c>
      <c r="L47" s="8">
        <f>IFERROR(VLOOKUP($D47,Original!$D:$AE,10,0),"")</f>
        <v>5</v>
      </c>
      <c r="M47" s="8">
        <f>IFERROR(VLOOKUP($D47,Original!$D:$AE,11,0),"")</f>
        <v>12</v>
      </c>
      <c r="N47" s="64">
        <f>IFERROR(VLOOKUP($D47,Original!$D:$AE,12,0),"")</f>
        <v>290</v>
      </c>
      <c r="O47" s="64">
        <f>IFERROR(VLOOKUP($D47,Original!$D:$AE,13,0),"")</f>
        <v>6662.5</v>
      </c>
      <c r="P47" s="64">
        <f>IFERROR(VLOOKUP($D47,Original!$D:$AE,14,0),"")</f>
        <v>360</v>
      </c>
      <c r="Q47" s="64">
        <f>IFERROR(VLOOKUP($D47,Original!$D:$AE,15,0),"")</f>
        <v>60</v>
      </c>
      <c r="R47" s="64">
        <f>IFERROR(VLOOKUP($D47,Original!$D:$AE,16,0),"")</f>
        <v>0</v>
      </c>
      <c r="S47" s="64">
        <f>IFERROR(VLOOKUP($D47,Original!$D:$AE,17,0),"")</f>
        <v>0</v>
      </c>
      <c r="T47" s="64">
        <f>IFERROR(VLOOKUP($D47,Original!$D:$AE,18,0),"")</f>
        <v>0</v>
      </c>
      <c r="U47" s="64">
        <f>IFERROR(VLOOKUP($D47,Original!$D:$AE,19,0),"")</f>
        <v>0</v>
      </c>
      <c r="V47" s="64">
        <f>IFERROR(VLOOKUP($D47,Original!$D:$AE,20,0),"")</f>
        <v>0</v>
      </c>
      <c r="W47" s="64">
        <f>IFERROR(VLOOKUP($D47,Original!$D:$AE,21,0),"")</f>
        <v>10</v>
      </c>
      <c r="X47" s="64">
        <f>IFERROR(VLOOKUP($D47,Original!$D:$AE,22,0),"")</f>
        <v>300</v>
      </c>
      <c r="Y47" s="65">
        <f>IFERROR(VLOOKUP($D47,Original!$D:$AE,23,0),"")</f>
        <v>533</v>
      </c>
      <c r="Z47" s="8" t="str">
        <f>IFERROR(VLOOKUP($D47,Original!$D:$AE,124,0),"")</f>
        <v/>
      </c>
      <c r="AA47" s="8">
        <f>IFERROR(VLOOKUP($D47,Original!$D:$AE,25,0),"")</f>
        <v>4.3499999999999996</v>
      </c>
      <c r="AB47" s="23"/>
      <c r="AC47" s="8"/>
      <c r="AD47" s="8"/>
      <c r="AE47" s="8" t="str">
        <f t="shared" si="17"/>
        <v>FALSE</v>
      </c>
      <c r="AF47" s="1"/>
    </row>
    <row r="48" spans="1:32" x14ac:dyDescent="0.25">
      <c r="A48" s="1"/>
      <c r="B48" s="5">
        <v>2</v>
      </c>
      <c r="C48" s="5" t="str">
        <f t="shared" ref="C48:C49" si="18">$F$5&amp;E48</f>
        <v>B        FS14</v>
      </c>
      <c r="D48" s="5" t="str">
        <f t="shared" ref="D48:D49" si="19">$F$5&amp;E48&amp;" "&amp;B48</f>
        <v>B        FS14 2</v>
      </c>
      <c r="E48" s="5" t="str">
        <f>F46</f>
        <v xml:space="preserve">        FS14</v>
      </c>
      <c r="F48" s="5" t="str">
        <f>IFERROR(VLOOKUP($D48,Original!$D:$AE,4,0),"")</f>
        <v/>
      </c>
      <c r="G48" s="5" t="str">
        <f>IFERROR(VLOOKUP($D48,Original!$D:$AE,5,0),"")</f>
        <v/>
      </c>
      <c r="H48" s="5" t="str">
        <f>IFERROR(VLOOKUP($D48,Original!$D:$AE,6,0),"")</f>
        <v/>
      </c>
      <c r="I48" s="6" t="str">
        <f>IFERROR(VLOOKUP($D48,Original!$D:$AE,7,0),"")</f>
        <v/>
      </c>
      <c r="J48" s="7" t="str">
        <f>IFERROR(VLOOKUP($D48,Original!$D:$AE,8,0),"")</f>
        <v/>
      </c>
      <c r="K48" s="7" t="str">
        <f>IFERROR(VLOOKUP($D48,Original!$D:$AE,9,0),"")</f>
        <v/>
      </c>
      <c r="L48" s="8" t="str">
        <f>IFERROR(VLOOKUP($D48,Original!$D:$AE,10,0),"")</f>
        <v/>
      </c>
      <c r="M48" s="8" t="str">
        <f>IFERROR(VLOOKUP($D48,Original!$D:$AE,11,0),"")</f>
        <v/>
      </c>
      <c r="N48" s="64" t="str">
        <f>IFERROR(VLOOKUP($D48,Original!$D:$AE,12,0),"")</f>
        <v/>
      </c>
      <c r="O48" s="64" t="str">
        <f>IFERROR(VLOOKUP($D48,Original!$D:$AE,13,0),"")</f>
        <v/>
      </c>
      <c r="P48" s="64" t="str">
        <f>IFERROR(VLOOKUP($D48,Original!$D:$AE,14,0),"")</f>
        <v/>
      </c>
      <c r="Q48" s="64" t="str">
        <f>IFERROR(VLOOKUP($D48,Original!$D:$AE,15,0),"")</f>
        <v/>
      </c>
      <c r="R48" s="64" t="str">
        <f>IFERROR(VLOOKUP($D48,Original!$D:$AE,16,0),"")</f>
        <v/>
      </c>
      <c r="S48" s="64" t="str">
        <f>IFERROR(VLOOKUP($D48,Original!$D:$AE,17,0),"")</f>
        <v/>
      </c>
      <c r="T48" s="64" t="str">
        <f>IFERROR(VLOOKUP($D48,Original!$D:$AE,18,0),"")</f>
        <v/>
      </c>
      <c r="U48" s="64" t="str">
        <f>IFERROR(VLOOKUP($D48,Original!$D:$AE,19,0),"")</f>
        <v/>
      </c>
      <c r="V48" s="64" t="str">
        <f>IFERROR(VLOOKUP($D48,Original!$D:$AE,20,0),"")</f>
        <v/>
      </c>
      <c r="W48" s="64" t="str">
        <f>IFERROR(VLOOKUP($D48,Original!$D:$AE,21,0),"")</f>
        <v/>
      </c>
      <c r="X48" s="64" t="str">
        <f>IFERROR(VLOOKUP($D48,Original!$D:$AE,22,0),"")</f>
        <v/>
      </c>
      <c r="Y48" s="65" t="str">
        <f>IFERROR(VLOOKUP($D48,Original!$D:$AE,23,0),"")</f>
        <v/>
      </c>
      <c r="Z48" s="8" t="str">
        <f>IFERROR(VLOOKUP($D48,Original!$D:$AE,124,0),"")</f>
        <v/>
      </c>
      <c r="AA48" s="8" t="str">
        <f>IFERROR(VLOOKUP($D48,Original!$D:$AE,25,0),"")</f>
        <v/>
      </c>
      <c r="AB48" s="23"/>
      <c r="AC48" s="8"/>
      <c r="AD48" s="8"/>
      <c r="AE48" s="8" t="str">
        <f t="shared" si="17"/>
        <v>TRUE</v>
      </c>
      <c r="AF48" s="1"/>
    </row>
    <row r="49" spans="1:32" x14ac:dyDescent="0.25">
      <c r="A49" s="1"/>
      <c r="B49" s="5">
        <v>3</v>
      </c>
      <c r="C49" s="5" t="str">
        <f t="shared" si="18"/>
        <v>B        FS14</v>
      </c>
      <c r="D49" s="5" t="str">
        <f t="shared" si="19"/>
        <v>B        FS14 3</v>
      </c>
      <c r="E49" s="5" t="str">
        <f>F46</f>
        <v xml:space="preserve">        FS14</v>
      </c>
      <c r="F49" s="5" t="str">
        <f>IFERROR(VLOOKUP($D49,Original!$D:$AE,4,0),"")</f>
        <v/>
      </c>
      <c r="G49" s="5" t="str">
        <f>IFERROR(VLOOKUP($D49,Original!$D:$AE,5,0),"")</f>
        <v/>
      </c>
      <c r="H49" s="5" t="str">
        <f>IFERROR(VLOOKUP($D49,Original!$D:$AE,6,0),"")</f>
        <v/>
      </c>
      <c r="I49" s="6" t="str">
        <f>IFERROR(VLOOKUP($D49,Original!$D:$AE,7,0),"")</f>
        <v/>
      </c>
      <c r="J49" s="7" t="str">
        <f>IFERROR(VLOOKUP($D49,Original!$D:$AE,8,0),"")</f>
        <v/>
      </c>
      <c r="K49" s="7" t="str">
        <f>IFERROR(VLOOKUP($D49,Original!$D:$AE,9,0),"")</f>
        <v/>
      </c>
      <c r="L49" s="8" t="str">
        <f>IFERROR(VLOOKUP($D49,Original!$D:$AE,10,0),"")</f>
        <v/>
      </c>
      <c r="M49" s="8" t="str">
        <f>IFERROR(VLOOKUP($D49,Original!$D:$AE,11,0),"")</f>
        <v/>
      </c>
      <c r="N49" s="64" t="str">
        <f>IFERROR(VLOOKUP($D49,Original!$D:$AE,12,0),"")</f>
        <v/>
      </c>
      <c r="O49" s="64" t="str">
        <f>IFERROR(VLOOKUP($D49,Original!$D:$AE,13,0),"")</f>
        <v/>
      </c>
      <c r="P49" s="64" t="str">
        <f>IFERROR(VLOOKUP($D49,Original!$D:$AE,14,0),"")</f>
        <v/>
      </c>
      <c r="Q49" s="64" t="str">
        <f>IFERROR(VLOOKUP($D49,Original!$D:$AE,15,0),"")</f>
        <v/>
      </c>
      <c r="R49" s="64" t="str">
        <f>IFERROR(VLOOKUP($D49,Original!$D:$AE,16,0),"")</f>
        <v/>
      </c>
      <c r="S49" s="64" t="str">
        <f>IFERROR(VLOOKUP($D49,Original!$D:$AE,17,0),"")</f>
        <v/>
      </c>
      <c r="T49" s="64" t="str">
        <f>IFERROR(VLOOKUP($D49,Original!$D:$AE,18,0),"")</f>
        <v/>
      </c>
      <c r="U49" s="64" t="str">
        <f>IFERROR(VLOOKUP($D49,Original!$D:$AE,19,0),"")</f>
        <v/>
      </c>
      <c r="V49" s="64" t="str">
        <f>IFERROR(VLOOKUP($D49,Original!$D:$AE,20,0),"")</f>
        <v/>
      </c>
      <c r="W49" s="64" t="str">
        <f>IFERROR(VLOOKUP($D49,Original!$D:$AE,21,0),"")</f>
        <v/>
      </c>
      <c r="X49" s="64" t="str">
        <f>IFERROR(VLOOKUP($D49,Original!$D:$AE,22,0),"")</f>
        <v/>
      </c>
      <c r="Y49" s="65" t="str">
        <f>IFERROR(VLOOKUP($D49,Original!$D:$AE,23,0),"")</f>
        <v/>
      </c>
      <c r="Z49" s="8" t="str">
        <f>IFERROR(VLOOKUP($D49,Original!$D:$AE,124,0),"")</f>
        <v/>
      </c>
      <c r="AA49" s="8" t="str">
        <f>IFERROR(VLOOKUP($D49,Original!$D:$AE,25,0),"")</f>
        <v/>
      </c>
      <c r="AB49" s="23"/>
      <c r="AC49" s="8"/>
      <c r="AD49" s="8"/>
      <c r="AE49" s="8" t="str">
        <f t="shared" si="17"/>
        <v>TRUE</v>
      </c>
      <c r="AF49" s="1"/>
    </row>
    <row r="50" spans="1:32" x14ac:dyDescent="0.25">
      <c r="A50" s="1"/>
      <c r="B50" s="12"/>
      <c r="C50" s="12"/>
      <c r="D50" s="12"/>
      <c r="E50" s="12"/>
      <c r="F50" s="62">
        <f>IF(F47="","",0)</f>
        <v>0</v>
      </c>
      <c r="G50" s="13"/>
      <c r="H50" s="34" t="str">
        <f>$F$5</f>
        <v>B</v>
      </c>
      <c r="I50" s="34" t="str">
        <f>$F$5&amp;J50</f>
        <v>B        FS14</v>
      </c>
      <c r="J50" s="67" t="str">
        <f>F46</f>
        <v xml:space="preserve">        FS14</v>
      </c>
      <c r="K50" s="67"/>
      <c r="L50" s="67" t="s">
        <v>19</v>
      </c>
      <c r="M50" s="67"/>
      <c r="N50" s="42">
        <f>SUMIF($C:$C,$I50,N:N)</f>
        <v>290</v>
      </c>
      <c r="O50" s="42">
        <f>SUMIF($C:$C,$I50,O:O)</f>
        <v>6662.5</v>
      </c>
      <c r="P50" s="42">
        <f>SUMIF($C:$C,$I50,P:P)</f>
        <v>360</v>
      </c>
      <c r="Q50" s="42">
        <f>SUMIF($C:$C,$I50,Q:Q)</f>
        <v>60</v>
      </c>
      <c r="R50" s="42">
        <f>SUMIF($C:$C,$I50,R:R)</f>
        <v>0</v>
      </c>
      <c r="S50" s="42">
        <f>SUMIF($C:$C,$I50,S:S)</f>
        <v>0</v>
      </c>
      <c r="T50" s="42">
        <f>SUMIF($C:$C,$I50,T:T)</f>
        <v>0</v>
      </c>
      <c r="U50" s="42"/>
      <c r="V50" s="42">
        <f>SUMIF($C:$C,$I50,V:V)</f>
        <v>0</v>
      </c>
      <c r="W50" s="42">
        <f>SUMIF($C:$C,$I50,W:W)</f>
        <v>10</v>
      </c>
      <c r="X50" s="42">
        <f>SUMIF($C:$C,$I50,X:X)</f>
        <v>300</v>
      </c>
      <c r="Y50" s="26"/>
      <c r="Z50" s="26"/>
      <c r="AA50" s="27">
        <f>N50/O50*100</f>
        <v>4.3527204502814261</v>
      </c>
      <c r="AB50" s="37"/>
      <c r="AC50" s="27"/>
      <c r="AD50" s="27"/>
      <c r="AE50" s="27" t="str">
        <f t="shared" si="17"/>
        <v>FALSE</v>
      </c>
      <c r="AF50" s="1"/>
    </row>
    <row r="51" spans="1:32" x14ac:dyDescent="0.25">
      <c r="A51" s="1"/>
      <c r="B51" s="19"/>
      <c r="C51" s="19"/>
      <c r="D51" s="19"/>
      <c r="E51" s="19"/>
      <c r="F51" s="63">
        <v>0</v>
      </c>
      <c r="G51" s="20"/>
      <c r="H51" s="20"/>
      <c r="I51" s="20"/>
      <c r="J51" s="20"/>
      <c r="K51" s="20"/>
      <c r="L51" s="69" t="s">
        <v>20</v>
      </c>
      <c r="M51" s="69"/>
      <c r="N51" s="43">
        <f>SUMIF($H:$H,$F$5,N:N)</f>
        <v>13612</v>
      </c>
      <c r="O51" s="43">
        <f>SUMIF($H:$H,$F$5,O:O)</f>
        <v>46412.7</v>
      </c>
      <c r="P51" s="43">
        <f>SUMIF($H:$H,$F$5,P:P)</f>
        <v>4320</v>
      </c>
      <c r="Q51" s="43">
        <f>SUMIF($H:$H,$F$5,Q:Q)</f>
        <v>495</v>
      </c>
      <c r="R51" s="43">
        <f>SUMIF($H:$H,$F$5,R:R)</f>
        <v>20</v>
      </c>
      <c r="S51" s="43">
        <f>SUMIF($H:$H,$F$5,S:S)</f>
        <v>45</v>
      </c>
      <c r="T51" s="43">
        <f>SUMIF($H:$H,$F$5,T:T)</f>
        <v>100</v>
      </c>
      <c r="U51" s="43"/>
      <c r="V51" s="43">
        <f>SUMIF($H:$H,$F$5,V:V)</f>
        <v>3</v>
      </c>
      <c r="W51" s="43">
        <f>SUMIF($H:$H,$F$5,W:W)</f>
        <v>78</v>
      </c>
      <c r="X51" s="43">
        <f>SUMIF($H:$H,$F$5,X:X)</f>
        <v>3660</v>
      </c>
      <c r="Y51" s="28"/>
      <c r="Z51" s="28"/>
      <c r="AA51" s="29">
        <f>N51/O51*100</f>
        <v>29.328179571539685</v>
      </c>
      <c r="AB51" s="38"/>
      <c r="AC51" s="29"/>
      <c r="AD51" s="29"/>
      <c r="AE51" s="29" t="str">
        <f t="shared" si="0"/>
        <v>FALSE</v>
      </c>
      <c r="AF51" s="1"/>
    </row>
    <row r="52" spans="1:32" x14ac:dyDescent="0.25">
      <c r="A52" s="1"/>
      <c r="B52" s="9"/>
      <c r="C52" s="9"/>
      <c r="D52" s="9"/>
      <c r="E52" s="9" t="s">
        <v>35</v>
      </c>
      <c r="F52" s="33" t="s">
        <v>36</v>
      </c>
      <c r="G52" s="51">
        <v>0</v>
      </c>
      <c r="H52" s="51">
        <v>0</v>
      </c>
      <c r="I52" s="51">
        <v>0</v>
      </c>
      <c r="J52" s="51">
        <v>0</v>
      </c>
      <c r="K52" s="51">
        <v>0</v>
      </c>
      <c r="L52" s="51">
        <v>0</v>
      </c>
      <c r="M52" s="51">
        <v>0</v>
      </c>
      <c r="N52" s="51">
        <v>0</v>
      </c>
      <c r="O52" s="51">
        <v>0</v>
      </c>
      <c r="P52" s="51">
        <v>0</v>
      </c>
      <c r="Q52" s="51">
        <v>0</v>
      </c>
      <c r="R52" s="51">
        <v>0</v>
      </c>
      <c r="S52" s="51">
        <v>0</v>
      </c>
      <c r="T52" s="51">
        <v>0</v>
      </c>
      <c r="U52" s="51">
        <v>0</v>
      </c>
      <c r="V52" s="51">
        <v>0</v>
      </c>
      <c r="W52" s="51">
        <v>0</v>
      </c>
      <c r="X52" s="51">
        <v>0</v>
      </c>
      <c r="Y52" s="51">
        <v>0</v>
      </c>
      <c r="Z52" s="51">
        <v>0</v>
      </c>
      <c r="AA52" s="52">
        <v>0</v>
      </c>
      <c r="AB52" s="10"/>
      <c r="AC52" s="10"/>
      <c r="AD52" s="11"/>
      <c r="AE52" s="11" t="str">
        <f t="shared" si="0"/>
        <v>FALSE</v>
      </c>
      <c r="AF52" s="1"/>
    </row>
    <row r="53" spans="1:32" x14ac:dyDescent="0.25">
      <c r="A53" s="1"/>
      <c r="B53" s="14"/>
      <c r="C53" s="14"/>
      <c r="D53" s="14"/>
      <c r="E53" s="14" t="s">
        <v>22</v>
      </c>
      <c r="F53" s="18" t="s">
        <v>21</v>
      </c>
      <c r="G53" s="16" t="s">
        <v>37</v>
      </c>
      <c r="H53" s="54">
        <f>IF(H54="","DNR",0)</f>
        <v>0</v>
      </c>
      <c r="I53" s="53">
        <v>0</v>
      </c>
      <c r="J53" s="54">
        <v>0</v>
      </c>
      <c r="K53" s="54">
        <v>0</v>
      </c>
      <c r="L53" s="54">
        <v>0</v>
      </c>
      <c r="M53" s="54">
        <v>0</v>
      </c>
      <c r="N53" s="54">
        <f>IF(F54="","DNR",0)</f>
        <v>0</v>
      </c>
      <c r="O53" s="54">
        <v>0</v>
      </c>
      <c r="P53" s="54">
        <v>0</v>
      </c>
      <c r="Q53" s="54">
        <v>0</v>
      </c>
      <c r="R53" s="54">
        <v>0</v>
      </c>
      <c r="S53" s="54">
        <v>0</v>
      </c>
      <c r="T53" s="54">
        <v>0</v>
      </c>
      <c r="U53" s="54">
        <v>0</v>
      </c>
      <c r="V53" s="54">
        <v>0</v>
      </c>
      <c r="W53" s="54">
        <v>0</v>
      </c>
      <c r="X53" s="54">
        <v>0</v>
      </c>
      <c r="Y53" s="54">
        <v>0</v>
      </c>
      <c r="Z53" s="54">
        <v>0</v>
      </c>
      <c r="AA53" s="55">
        <v>0</v>
      </c>
      <c r="AB53" s="16"/>
      <c r="AC53" s="16"/>
      <c r="AD53" s="17"/>
      <c r="AE53" s="17" t="str">
        <f t="shared" si="0"/>
        <v>FALSE</v>
      </c>
      <c r="AF53" s="1"/>
    </row>
    <row r="54" spans="1:32" x14ac:dyDescent="0.25">
      <c r="A54" s="1"/>
      <c r="B54" s="5">
        <v>1</v>
      </c>
      <c r="C54" s="5" t="str">
        <f>$F$52&amp;E54</f>
        <v>C        FS01</v>
      </c>
      <c r="D54" s="5" t="str">
        <f>$F$52&amp;E54&amp;" "&amp;B54</f>
        <v>C        FS01 1</v>
      </c>
      <c r="E54" s="5" t="str">
        <f>F53</f>
        <v xml:space="preserve">        FS01</v>
      </c>
      <c r="F54" s="5">
        <f>IFERROR(VLOOKUP($D54,Original!$D:$AE,4,0),"")</f>
        <v>30008035</v>
      </c>
      <c r="G54" s="5" t="str">
        <f>IFERROR(VLOOKUP($D54,Original!$D:$AE,5,0),"")</f>
        <v>SEAG GIN 80P 12/750 ND US</v>
      </c>
      <c r="H54" s="5">
        <f>IFERROR(VLOOKUP($D54,Original!$D:$AE,6,0),"")</f>
        <v>408915</v>
      </c>
      <c r="I54" s="6">
        <f>IFERROR(VLOOKUP($D54,Original!$D:$AE,7,0),"")</f>
        <v>44901</v>
      </c>
      <c r="J54" s="7">
        <f>IFERROR(VLOOKUP($D54,Original!$D:$AE,8,0),"")</f>
        <v>0.64583333333333337</v>
      </c>
      <c r="K54" s="7">
        <f>IFERROR(VLOOKUP($D54,Original!$D:$AE,9,0),"")</f>
        <v>0.14583333333333334</v>
      </c>
      <c r="L54" s="8">
        <f>IFERROR(VLOOKUP($D54,Original!$D:$AE,10,0),"")</f>
        <v>8</v>
      </c>
      <c r="M54" s="8">
        <f>IFERROR(VLOOKUP($D54,Original!$D:$AE,11,0),"")</f>
        <v>12</v>
      </c>
      <c r="N54" s="64">
        <f>IFERROR(VLOOKUP($D54,Original!$D:$AE,12,0),"")</f>
        <v>4261</v>
      </c>
      <c r="O54" s="64">
        <f>IFERROR(VLOOKUP($D54,Original!$D:$AE,13,0),"")</f>
        <v>8181.25</v>
      </c>
      <c r="P54" s="64">
        <f>IFERROR(VLOOKUP($D54,Original!$D:$AE,14,0),"")</f>
        <v>720</v>
      </c>
      <c r="Q54" s="64">
        <f>IFERROR(VLOOKUP($D54,Original!$D:$AE,15,0),"")</f>
        <v>95</v>
      </c>
      <c r="R54" s="64">
        <f>IFERROR(VLOOKUP($D54,Original!$D:$AE,16,0),"")</f>
        <v>0</v>
      </c>
      <c r="S54" s="64">
        <f>IFERROR(VLOOKUP($D54,Original!$D:$AE,17,0),"")</f>
        <v>0</v>
      </c>
      <c r="T54" s="64">
        <f>IFERROR(VLOOKUP($D54,Original!$D:$AE,18,0),"")</f>
        <v>30</v>
      </c>
      <c r="U54" s="64">
        <f>IFERROR(VLOOKUP($D54,Original!$D:$AE,19,0),"")</f>
        <v>0</v>
      </c>
      <c r="V54" s="64">
        <f>IFERROR(VLOOKUP($D54,Original!$D:$AE,20,0),"")</f>
        <v>0</v>
      </c>
      <c r="W54" s="64">
        <f>IFERROR(VLOOKUP($D54,Original!$D:$AE,21,0),"")</f>
        <v>10</v>
      </c>
      <c r="X54" s="64">
        <f>IFERROR(VLOOKUP($D54,Original!$D:$AE,22,0),"")</f>
        <v>595</v>
      </c>
      <c r="Y54" s="65">
        <f>IFERROR(VLOOKUP($D54,Original!$D:$AE,23,0),"")</f>
        <v>165</v>
      </c>
      <c r="Z54" s="8" t="str">
        <f>IFERROR(VLOOKUP($D54,Original!$D:$AE,124,0),"")</f>
        <v/>
      </c>
      <c r="AA54" s="8">
        <f>IFERROR(VLOOKUP($D54,Original!$D:$AE,25,0),"")</f>
        <v>52.08</v>
      </c>
      <c r="AB54" s="23"/>
      <c r="AC54" s="8"/>
      <c r="AD54" s="8"/>
      <c r="AE54" s="8" t="str">
        <f t="shared" si="0"/>
        <v>FALSE</v>
      </c>
      <c r="AF54" s="1"/>
    </row>
    <row r="55" spans="1:32" x14ac:dyDescent="0.25">
      <c r="A55" s="1"/>
      <c r="B55" s="5">
        <v>2</v>
      </c>
      <c r="C55" s="5" t="str">
        <f>$F$52&amp;E55</f>
        <v>C        FS01</v>
      </c>
      <c r="D55" s="5" t="str">
        <f t="shared" ref="D55:D56" si="20">$F$52&amp;E55&amp;" "&amp;B55</f>
        <v>C        FS01 2</v>
      </c>
      <c r="E55" s="5" t="str">
        <f>F53</f>
        <v xml:space="preserve">        FS01</v>
      </c>
      <c r="F55" s="5" t="str">
        <f>IFERROR(VLOOKUP($D55,Original!$D:$AE,4,0),"")</f>
        <v/>
      </c>
      <c r="G55" s="5" t="str">
        <f>IFERROR(VLOOKUP($D55,Original!$D:$AE,5,0),"")</f>
        <v/>
      </c>
      <c r="H55" s="5" t="str">
        <f>IFERROR(VLOOKUP($D55,Original!$D:$AE,6,0),"")</f>
        <v/>
      </c>
      <c r="I55" s="6" t="str">
        <f>IFERROR(VLOOKUP($D55,Original!$D:$AE,7,0),"")</f>
        <v/>
      </c>
      <c r="J55" s="7" t="str">
        <f>IFERROR(VLOOKUP($D55,Original!$D:$AE,8,0),"")</f>
        <v/>
      </c>
      <c r="K55" s="7" t="str">
        <f>IFERROR(VLOOKUP($D55,Original!$D:$AE,9,0),"")</f>
        <v/>
      </c>
      <c r="L55" s="8" t="str">
        <f>IFERROR(VLOOKUP($D55,Original!$D:$AE,10,0),"")</f>
        <v/>
      </c>
      <c r="M55" s="8" t="str">
        <f>IFERROR(VLOOKUP($D55,Original!$D:$AE,11,0),"")</f>
        <v/>
      </c>
      <c r="N55" s="64" t="str">
        <f>IFERROR(VLOOKUP($D55,Original!$D:$AE,12,0),"")</f>
        <v/>
      </c>
      <c r="O55" s="64" t="str">
        <f>IFERROR(VLOOKUP($D55,Original!$D:$AE,13,0),"")</f>
        <v/>
      </c>
      <c r="P55" s="64" t="str">
        <f>IFERROR(VLOOKUP($D55,Original!$D:$AE,14,0),"")</f>
        <v/>
      </c>
      <c r="Q55" s="64" t="str">
        <f>IFERROR(VLOOKUP($D55,Original!$D:$AE,15,0),"")</f>
        <v/>
      </c>
      <c r="R55" s="64" t="str">
        <f>IFERROR(VLOOKUP($D55,Original!$D:$AE,16,0),"")</f>
        <v/>
      </c>
      <c r="S55" s="64" t="str">
        <f>IFERROR(VLOOKUP($D55,Original!$D:$AE,17,0),"")</f>
        <v/>
      </c>
      <c r="T55" s="64" t="str">
        <f>IFERROR(VLOOKUP($D55,Original!$D:$AE,18,0),"")</f>
        <v/>
      </c>
      <c r="U55" s="64" t="str">
        <f>IFERROR(VLOOKUP($D55,Original!$D:$AE,19,0),"")</f>
        <v/>
      </c>
      <c r="V55" s="64" t="str">
        <f>IFERROR(VLOOKUP($D55,Original!$D:$AE,20,0),"")</f>
        <v/>
      </c>
      <c r="W55" s="64" t="str">
        <f>IFERROR(VLOOKUP($D55,Original!$D:$AE,21,0),"")</f>
        <v/>
      </c>
      <c r="X55" s="64" t="str">
        <f>IFERROR(VLOOKUP($D55,Original!$D:$AE,22,0),"")</f>
        <v/>
      </c>
      <c r="Y55" s="65" t="str">
        <f>IFERROR(VLOOKUP($D55,Original!$D:$AE,23,0),"")</f>
        <v/>
      </c>
      <c r="Z55" s="8" t="str">
        <f>IFERROR(VLOOKUP($D55,Original!$D:$AE,124,0),"")</f>
        <v/>
      </c>
      <c r="AA55" s="8" t="str">
        <f>IFERROR(VLOOKUP($D55,Original!$D:$AE,25,0),"")</f>
        <v/>
      </c>
      <c r="AB55" s="23"/>
      <c r="AC55" s="8"/>
      <c r="AD55" s="8"/>
      <c r="AE55" s="8" t="str">
        <f t="shared" si="0"/>
        <v>TRUE</v>
      </c>
      <c r="AF55" s="1"/>
    </row>
    <row r="56" spans="1:32" x14ac:dyDescent="0.25">
      <c r="A56" s="1"/>
      <c r="B56" s="5">
        <v>3</v>
      </c>
      <c r="C56" s="5" t="str">
        <f>$F$52&amp;E56</f>
        <v>C        FS01</v>
      </c>
      <c r="D56" s="5" t="str">
        <f t="shared" si="20"/>
        <v>C        FS01 3</v>
      </c>
      <c r="E56" s="5" t="str">
        <f>F53</f>
        <v xml:space="preserve">        FS01</v>
      </c>
      <c r="F56" s="5" t="str">
        <f>IFERROR(VLOOKUP($D56,Original!$D:$AE,4,0),"")</f>
        <v/>
      </c>
      <c r="G56" s="5" t="str">
        <f>IFERROR(VLOOKUP($D56,Original!$D:$AE,5,0),"")</f>
        <v/>
      </c>
      <c r="H56" s="5" t="str">
        <f>IFERROR(VLOOKUP($D56,Original!$D:$AE,6,0),"")</f>
        <v/>
      </c>
      <c r="I56" s="6" t="str">
        <f>IFERROR(VLOOKUP($D56,Original!$D:$AE,7,0),"")</f>
        <v/>
      </c>
      <c r="J56" s="7" t="str">
        <f>IFERROR(VLOOKUP($D56,Original!$D:$AE,8,0),"")</f>
        <v/>
      </c>
      <c r="K56" s="7" t="str">
        <f>IFERROR(VLOOKUP($D56,Original!$D:$AE,9,0),"")</f>
        <v/>
      </c>
      <c r="L56" s="8" t="str">
        <f>IFERROR(VLOOKUP($D56,Original!$D:$AE,10,0),"")</f>
        <v/>
      </c>
      <c r="M56" s="8" t="str">
        <f>IFERROR(VLOOKUP($D56,Original!$D:$AE,11,0),"")</f>
        <v/>
      </c>
      <c r="N56" s="64" t="str">
        <f>IFERROR(VLOOKUP($D56,Original!$D:$AE,12,0),"")</f>
        <v/>
      </c>
      <c r="O56" s="64" t="str">
        <f>IFERROR(VLOOKUP($D56,Original!$D:$AE,13,0),"")</f>
        <v/>
      </c>
      <c r="P56" s="64" t="str">
        <f>IFERROR(VLOOKUP($D56,Original!$D:$AE,14,0),"")</f>
        <v/>
      </c>
      <c r="Q56" s="64" t="str">
        <f>IFERROR(VLOOKUP($D56,Original!$D:$AE,15,0),"")</f>
        <v/>
      </c>
      <c r="R56" s="64" t="str">
        <f>IFERROR(VLOOKUP($D56,Original!$D:$AE,16,0),"")</f>
        <v/>
      </c>
      <c r="S56" s="64" t="str">
        <f>IFERROR(VLOOKUP($D56,Original!$D:$AE,17,0),"")</f>
        <v/>
      </c>
      <c r="T56" s="64" t="str">
        <f>IFERROR(VLOOKUP($D56,Original!$D:$AE,18,0),"")</f>
        <v/>
      </c>
      <c r="U56" s="64" t="str">
        <f>IFERROR(VLOOKUP($D56,Original!$D:$AE,19,0),"")</f>
        <v/>
      </c>
      <c r="V56" s="64" t="str">
        <f>IFERROR(VLOOKUP($D56,Original!$D:$AE,20,0),"")</f>
        <v/>
      </c>
      <c r="W56" s="64" t="str">
        <f>IFERROR(VLOOKUP($D56,Original!$D:$AE,21,0),"")</f>
        <v/>
      </c>
      <c r="X56" s="64" t="str">
        <f>IFERROR(VLOOKUP($D56,Original!$D:$AE,22,0),"")</f>
        <v/>
      </c>
      <c r="Y56" s="65" t="str">
        <f>IFERROR(VLOOKUP($D56,Original!$D:$AE,23,0),"")</f>
        <v/>
      </c>
      <c r="Z56" s="8" t="str">
        <f>IFERROR(VLOOKUP($D56,Original!$D:$AE,124,0),"")</f>
        <v/>
      </c>
      <c r="AA56" s="8" t="str">
        <f>IFERROR(VLOOKUP($D56,Original!$D:$AE,25,0),"")</f>
        <v/>
      </c>
      <c r="AB56" s="23"/>
      <c r="AC56" s="8"/>
      <c r="AD56" s="8"/>
      <c r="AE56" s="8" t="str">
        <f t="shared" si="0"/>
        <v>TRUE</v>
      </c>
      <c r="AF56" s="1"/>
    </row>
    <row r="57" spans="1:32" x14ac:dyDescent="0.25">
      <c r="A57" s="1"/>
      <c r="B57" s="12"/>
      <c r="C57" s="12"/>
      <c r="D57" s="12"/>
      <c r="E57" s="12"/>
      <c r="F57" s="62">
        <f>IF(F54="","",0)</f>
        <v>0</v>
      </c>
      <c r="G57" s="13"/>
      <c r="H57" s="34" t="str">
        <f>$F$52</f>
        <v>C</v>
      </c>
      <c r="I57" s="34" t="str">
        <f>$F$52&amp;J57</f>
        <v>C        FS01</v>
      </c>
      <c r="J57" s="67" t="str">
        <f>F53</f>
        <v xml:space="preserve">        FS01</v>
      </c>
      <c r="K57" s="67"/>
      <c r="L57" s="67" t="s">
        <v>19</v>
      </c>
      <c r="M57" s="67"/>
      <c r="N57" s="42">
        <f>SUMIF($C:$C,$I57,N:N)</f>
        <v>4261</v>
      </c>
      <c r="O57" s="42">
        <f>SUMIF($C:$C,$I57,O:O)</f>
        <v>8181.25</v>
      </c>
      <c r="P57" s="42">
        <f>SUMIF($C:$C,$I57,P:P)</f>
        <v>720</v>
      </c>
      <c r="Q57" s="42">
        <f>SUMIF($C:$C,$I57,Q:Q)</f>
        <v>95</v>
      </c>
      <c r="R57" s="42">
        <f>SUMIF($C:$C,$I57,R:R)</f>
        <v>0</v>
      </c>
      <c r="S57" s="42">
        <f>SUMIF($C:$C,$I57,S:S)</f>
        <v>0</v>
      </c>
      <c r="T57" s="42">
        <f>SUMIF($C:$C,$I57,T:T)</f>
        <v>30</v>
      </c>
      <c r="U57" s="42"/>
      <c r="V57" s="42">
        <f>SUMIF($C:$C,$I57,V:V)</f>
        <v>0</v>
      </c>
      <c r="W57" s="42">
        <f>SUMIF($C:$C,$I57,W:W)</f>
        <v>10</v>
      </c>
      <c r="X57" s="42">
        <f>SUMIF($C:$C,$I57,X:X)</f>
        <v>595</v>
      </c>
      <c r="Y57" s="26"/>
      <c r="Z57" s="26"/>
      <c r="AA57" s="27">
        <f>N57/O57*100</f>
        <v>52.082505729564552</v>
      </c>
      <c r="AB57" s="37"/>
      <c r="AC57" s="27"/>
      <c r="AD57" s="27"/>
      <c r="AE57" s="27" t="str">
        <f t="shared" si="0"/>
        <v>FALSE</v>
      </c>
      <c r="AF57" s="1"/>
    </row>
    <row r="58" spans="1:32" x14ac:dyDescent="0.25">
      <c r="A58" s="1"/>
      <c r="B58" s="14"/>
      <c r="C58" s="14"/>
      <c r="D58" s="14"/>
      <c r="E58" s="14" t="s">
        <v>22</v>
      </c>
      <c r="F58" s="18" t="s">
        <v>23</v>
      </c>
      <c r="G58" s="16" t="s">
        <v>24</v>
      </c>
      <c r="H58" s="54">
        <f>IF(H59="","DNR",0)</f>
        <v>0</v>
      </c>
      <c r="I58" s="53">
        <v>0</v>
      </c>
      <c r="J58" s="54">
        <v>0</v>
      </c>
      <c r="K58" s="54">
        <v>0</v>
      </c>
      <c r="L58" s="54">
        <v>0</v>
      </c>
      <c r="M58" s="54">
        <v>0</v>
      </c>
      <c r="N58" s="54">
        <f>IF(F59="","DNR",0)</f>
        <v>0</v>
      </c>
      <c r="O58" s="54">
        <v>0</v>
      </c>
      <c r="P58" s="54">
        <v>0</v>
      </c>
      <c r="Q58" s="54">
        <v>0</v>
      </c>
      <c r="R58" s="54">
        <v>0</v>
      </c>
      <c r="S58" s="54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5">
        <v>0</v>
      </c>
      <c r="AB58" s="17"/>
      <c r="AC58" s="17"/>
      <c r="AD58" s="17"/>
      <c r="AE58" s="17" t="str">
        <f t="shared" si="0"/>
        <v>FALSE</v>
      </c>
      <c r="AF58" s="1"/>
    </row>
    <row r="59" spans="1:32" x14ac:dyDescent="0.25">
      <c r="A59" s="1"/>
      <c r="B59" s="5">
        <v>1</v>
      </c>
      <c r="C59" s="5" t="str">
        <f>$F$52&amp;E59</f>
        <v>C        FS03</v>
      </c>
      <c r="D59" s="5" t="str">
        <f>$F$52&amp;E59&amp;" "&amp;B59</f>
        <v>C        FS03 1</v>
      </c>
      <c r="E59" s="5" t="str">
        <f>F58</f>
        <v xml:space="preserve">        FS03</v>
      </c>
      <c r="F59" s="5">
        <f>IFERROR(VLOOKUP($D59,Original!$D:$AE,4,0),"")</f>
        <v>96700026</v>
      </c>
      <c r="G59" s="5" t="str">
        <f>IFERROR(VLOOKUP($D59,Original!$D:$AE,5,0),"")</f>
        <v>SV EXS80 120/50PT CP</v>
      </c>
      <c r="H59" s="5">
        <f>IFERROR(VLOOKUP($D59,Original!$D:$AE,6,0),"")</f>
        <v>408961</v>
      </c>
      <c r="I59" s="6">
        <f>IFERROR(VLOOKUP($D59,Original!$D:$AE,7,0),"")</f>
        <v>44901</v>
      </c>
      <c r="J59" s="7">
        <f>IFERROR(VLOOKUP($D59,Original!$D:$AE,8,0),"")</f>
        <v>0.64583333333333337</v>
      </c>
      <c r="K59" s="7">
        <f>IFERROR(VLOOKUP($D59,Original!$D:$AE,9,0),"")</f>
        <v>0.14583333333333334</v>
      </c>
      <c r="L59" s="8">
        <f>IFERROR(VLOOKUP($D59,Original!$D:$AE,10,0),"")</f>
        <v>8</v>
      </c>
      <c r="M59" s="8">
        <f>IFERROR(VLOOKUP($D59,Original!$D:$AE,11,0),"")</f>
        <v>12</v>
      </c>
      <c r="N59" s="64">
        <f>IFERROR(VLOOKUP($D59,Original!$D:$AE,12,0),"")</f>
        <v>729</v>
      </c>
      <c r="O59" s="64">
        <f>IFERROR(VLOOKUP($D59,Original!$D:$AE,13,0),"")</f>
        <v>1900</v>
      </c>
      <c r="P59" s="64">
        <f>IFERROR(VLOOKUP($D59,Original!$D:$AE,14,0),"")</f>
        <v>720</v>
      </c>
      <c r="Q59" s="64">
        <f>IFERROR(VLOOKUP($D59,Original!$D:$AE,15,0),"")</f>
        <v>100</v>
      </c>
      <c r="R59" s="64">
        <f>IFERROR(VLOOKUP($D59,Original!$D:$AE,16,0),"")</f>
        <v>0</v>
      </c>
      <c r="S59" s="64">
        <f>IFERROR(VLOOKUP($D59,Original!$D:$AE,17,0),"")</f>
        <v>20</v>
      </c>
      <c r="T59" s="64">
        <f>IFERROR(VLOOKUP($D59,Original!$D:$AE,18,0),"")</f>
        <v>0</v>
      </c>
      <c r="U59" s="64">
        <f>IFERROR(VLOOKUP($D59,Original!$D:$AE,19,0),"")</f>
        <v>0</v>
      </c>
      <c r="V59" s="64">
        <f>IFERROR(VLOOKUP($D59,Original!$D:$AE,20,0),"")</f>
        <v>0</v>
      </c>
      <c r="W59" s="64">
        <f>IFERROR(VLOOKUP($D59,Original!$D:$AE,21,0),"")</f>
        <v>10</v>
      </c>
      <c r="X59" s="64">
        <f>IFERROR(VLOOKUP($D59,Original!$D:$AE,22,0),"")</f>
        <v>600</v>
      </c>
      <c r="Y59" s="65">
        <f>IFERROR(VLOOKUP($D59,Original!$D:$AE,23,0),"")</f>
        <v>380</v>
      </c>
      <c r="Z59" s="8" t="str">
        <f>IFERROR(VLOOKUP($D59,Original!$D:$AE,124,0),"")</f>
        <v/>
      </c>
      <c r="AA59" s="8">
        <f>IFERROR(VLOOKUP($D59,Original!$D:$AE,25,0),"")</f>
        <v>38.369999999999997</v>
      </c>
      <c r="AB59" s="23"/>
      <c r="AC59" s="8"/>
      <c r="AD59" s="8"/>
      <c r="AE59" s="8" t="str">
        <f t="shared" si="0"/>
        <v>FALSE</v>
      </c>
      <c r="AF59" s="1"/>
    </row>
    <row r="60" spans="1:32" x14ac:dyDescent="0.25">
      <c r="A60" s="1"/>
      <c r="B60" s="5">
        <v>2</v>
      </c>
      <c r="C60" s="5" t="str">
        <f>$F$52&amp;E60</f>
        <v>C        FS03</v>
      </c>
      <c r="D60" s="5" t="str">
        <f t="shared" ref="D60:D61" si="21">$F$52&amp;E60&amp;" "&amp;B60</f>
        <v>C        FS03 2</v>
      </c>
      <c r="E60" s="5" t="str">
        <f>F58</f>
        <v xml:space="preserve">        FS03</v>
      </c>
      <c r="F60" s="5" t="str">
        <f>IFERROR(VLOOKUP($D60,Original!$D:$AE,4,0),"")</f>
        <v/>
      </c>
      <c r="G60" s="5" t="str">
        <f>IFERROR(VLOOKUP($D60,Original!$D:$AE,5,0),"")</f>
        <v/>
      </c>
      <c r="H60" s="5" t="str">
        <f>IFERROR(VLOOKUP($D60,Original!$D:$AE,6,0),"")</f>
        <v/>
      </c>
      <c r="I60" s="6" t="str">
        <f>IFERROR(VLOOKUP($D60,Original!$D:$AE,7,0),"")</f>
        <v/>
      </c>
      <c r="J60" s="7" t="str">
        <f>IFERROR(VLOOKUP($D60,Original!$D:$AE,8,0),"")</f>
        <v/>
      </c>
      <c r="K60" s="7" t="str">
        <f>IFERROR(VLOOKUP($D60,Original!$D:$AE,9,0),"")</f>
        <v/>
      </c>
      <c r="L60" s="8" t="str">
        <f>IFERROR(VLOOKUP($D60,Original!$D:$AE,10,0),"")</f>
        <v/>
      </c>
      <c r="M60" s="8" t="str">
        <f>IFERROR(VLOOKUP($D60,Original!$D:$AE,11,0),"")</f>
        <v/>
      </c>
      <c r="N60" s="64" t="str">
        <f>IFERROR(VLOOKUP($D60,Original!$D:$AE,12,0),"")</f>
        <v/>
      </c>
      <c r="O60" s="64" t="str">
        <f>IFERROR(VLOOKUP($D60,Original!$D:$AE,13,0),"")</f>
        <v/>
      </c>
      <c r="P60" s="64" t="str">
        <f>IFERROR(VLOOKUP($D60,Original!$D:$AE,14,0),"")</f>
        <v/>
      </c>
      <c r="Q60" s="64" t="str">
        <f>IFERROR(VLOOKUP($D60,Original!$D:$AE,15,0),"")</f>
        <v/>
      </c>
      <c r="R60" s="64" t="str">
        <f>IFERROR(VLOOKUP($D60,Original!$D:$AE,16,0),"")</f>
        <v/>
      </c>
      <c r="S60" s="64" t="str">
        <f>IFERROR(VLOOKUP($D60,Original!$D:$AE,17,0),"")</f>
        <v/>
      </c>
      <c r="T60" s="64" t="str">
        <f>IFERROR(VLOOKUP($D60,Original!$D:$AE,18,0),"")</f>
        <v/>
      </c>
      <c r="U60" s="64" t="str">
        <f>IFERROR(VLOOKUP($D60,Original!$D:$AE,19,0),"")</f>
        <v/>
      </c>
      <c r="V60" s="64" t="str">
        <f>IFERROR(VLOOKUP($D60,Original!$D:$AE,20,0),"")</f>
        <v/>
      </c>
      <c r="W60" s="64" t="str">
        <f>IFERROR(VLOOKUP($D60,Original!$D:$AE,21,0),"")</f>
        <v/>
      </c>
      <c r="X60" s="64" t="str">
        <f>IFERROR(VLOOKUP($D60,Original!$D:$AE,22,0),"")</f>
        <v/>
      </c>
      <c r="Y60" s="65" t="str">
        <f>IFERROR(VLOOKUP($D60,Original!$D:$AE,23,0),"")</f>
        <v/>
      </c>
      <c r="Z60" s="8" t="str">
        <f>IFERROR(VLOOKUP($D60,Original!$D:$AE,124,0),"")</f>
        <v/>
      </c>
      <c r="AA60" s="8" t="str">
        <f>IFERROR(VLOOKUP($D60,Original!$D:$AE,25,0),"")</f>
        <v/>
      </c>
      <c r="AB60" s="23"/>
      <c r="AC60" s="8"/>
      <c r="AD60" s="8"/>
      <c r="AE60" s="8" t="str">
        <f t="shared" si="0"/>
        <v>TRUE</v>
      </c>
      <c r="AF60" s="1"/>
    </row>
    <row r="61" spans="1:32" x14ac:dyDescent="0.25">
      <c r="A61" s="1"/>
      <c r="B61" s="5">
        <v>3</v>
      </c>
      <c r="C61" s="5" t="str">
        <f>$F$52&amp;E61</f>
        <v>C        FS03</v>
      </c>
      <c r="D61" s="5" t="str">
        <f t="shared" si="21"/>
        <v>C        FS03 3</v>
      </c>
      <c r="E61" s="5" t="str">
        <f>F58</f>
        <v xml:space="preserve">        FS03</v>
      </c>
      <c r="F61" s="5" t="str">
        <f>IFERROR(VLOOKUP($D61,Original!$D:$AE,4,0),"")</f>
        <v/>
      </c>
      <c r="G61" s="5" t="str">
        <f>IFERROR(VLOOKUP($D61,Original!$D:$AE,5,0),"")</f>
        <v/>
      </c>
      <c r="H61" s="5" t="str">
        <f>IFERROR(VLOOKUP($D61,Original!$D:$AE,6,0),"")</f>
        <v/>
      </c>
      <c r="I61" s="6" t="str">
        <f>IFERROR(VLOOKUP($D61,Original!$D:$AE,7,0),"")</f>
        <v/>
      </c>
      <c r="J61" s="7" t="str">
        <f>IFERROR(VLOOKUP($D61,Original!$D:$AE,8,0),"")</f>
        <v/>
      </c>
      <c r="K61" s="7" t="str">
        <f>IFERROR(VLOOKUP($D61,Original!$D:$AE,9,0),"")</f>
        <v/>
      </c>
      <c r="L61" s="8" t="str">
        <f>IFERROR(VLOOKUP($D61,Original!$D:$AE,10,0),"")</f>
        <v/>
      </c>
      <c r="M61" s="8" t="str">
        <f>IFERROR(VLOOKUP($D61,Original!$D:$AE,11,0),"")</f>
        <v/>
      </c>
      <c r="N61" s="64" t="str">
        <f>IFERROR(VLOOKUP($D61,Original!$D:$AE,12,0),"")</f>
        <v/>
      </c>
      <c r="O61" s="64" t="str">
        <f>IFERROR(VLOOKUP($D61,Original!$D:$AE,13,0),"")</f>
        <v/>
      </c>
      <c r="P61" s="64" t="str">
        <f>IFERROR(VLOOKUP($D61,Original!$D:$AE,14,0),"")</f>
        <v/>
      </c>
      <c r="Q61" s="64" t="str">
        <f>IFERROR(VLOOKUP($D61,Original!$D:$AE,15,0),"")</f>
        <v/>
      </c>
      <c r="R61" s="64" t="str">
        <f>IFERROR(VLOOKUP($D61,Original!$D:$AE,16,0),"")</f>
        <v/>
      </c>
      <c r="S61" s="64" t="str">
        <f>IFERROR(VLOOKUP($D61,Original!$D:$AE,17,0),"")</f>
        <v/>
      </c>
      <c r="T61" s="64" t="str">
        <f>IFERROR(VLOOKUP($D61,Original!$D:$AE,18,0),"")</f>
        <v/>
      </c>
      <c r="U61" s="64" t="str">
        <f>IFERROR(VLOOKUP($D61,Original!$D:$AE,19,0),"")</f>
        <v/>
      </c>
      <c r="V61" s="64" t="str">
        <f>IFERROR(VLOOKUP($D61,Original!$D:$AE,20,0),"")</f>
        <v/>
      </c>
      <c r="W61" s="64" t="str">
        <f>IFERROR(VLOOKUP($D61,Original!$D:$AE,21,0),"")</f>
        <v/>
      </c>
      <c r="X61" s="64" t="str">
        <f>IFERROR(VLOOKUP($D61,Original!$D:$AE,22,0),"")</f>
        <v/>
      </c>
      <c r="Y61" s="65" t="str">
        <f>IFERROR(VLOOKUP($D61,Original!$D:$AE,23,0),"")</f>
        <v/>
      </c>
      <c r="Z61" s="8" t="str">
        <f>IFERROR(VLOOKUP($D61,Original!$D:$AE,124,0),"")</f>
        <v/>
      </c>
      <c r="AA61" s="8" t="str">
        <f>IFERROR(VLOOKUP($D61,Original!$D:$AE,25,0),"")</f>
        <v/>
      </c>
      <c r="AB61" s="23"/>
      <c r="AC61" s="8"/>
      <c r="AD61" s="8"/>
      <c r="AE61" s="8" t="str">
        <f t="shared" si="0"/>
        <v>TRUE</v>
      </c>
      <c r="AF61" s="1"/>
    </row>
    <row r="62" spans="1:32" x14ac:dyDescent="0.25">
      <c r="A62" s="1"/>
      <c r="B62" s="12"/>
      <c r="C62" s="12"/>
      <c r="D62" s="12"/>
      <c r="E62" s="12"/>
      <c r="F62" s="62">
        <f>IF(F59="","",0)</f>
        <v>0</v>
      </c>
      <c r="G62" s="13"/>
      <c r="H62" s="34" t="str">
        <f>$F$52</f>
        <v>C</v>
      </c>
      <c r="I62" s="34" t="str">
        <f>$F$52&amp;J62</f>
        <v>C        FS03</v>
      </c>
      <c r="J62" s="67" t="str">
        <f>F58</f>
        <v xml:space="preserve">        FS03</v>
      </c>
      <c r="K62" s="67"/>
      <c r="L62" s="67" t="s">
        <v>19</v>
      </c>
      <c r="M62" s="68"/>
      <c r="N62" s="42">
        <f>SUMIF($C:$C,$I62,N:N)</f>
        <v>729</v>
      </c>
      <c r="O62" s="42">
        <f>SUMIF($C:$C,$I62,O:O)</f>
        <v>1900</v>
      </c>
      <c r="P62" s="42">
        <f>SUMIF($C:$C,$I62,P:P)</f>
        <v>720</v>
      </c>
      <c r="Q62" s="42">
        <f>SUMIF($C:$C,$I62,Q:Q)</f>
        <v>100</v>
      </c>
      <c r="R62" s="42">
        <f>SUMIF($C:$C,$I62,R:R)</f>
        <v>0</v>
      </c>
      <c r="S62" s="42">
        <f>SUMIF($C:$C,$I62,S:S)</f>
        <v>20</v>
      </c>
      <c r="T62" s="42">
        <f>SUMIF($C:$C,$I62,T:T)</f>
        <v>0</v>
      </c>
      <c r="U62" s="42"/>
      <c r="V62" s="42">
        <f>SUMIF($C:$C,$I62,V:V)</f>
        <v>0</v>
      </c>
      <c r="W62" s="42">
        <f>SUMIF($C:$C,$I62,W:W)</f>
        <v>10</v>
      </c>
      <c r="X62" s="42">
        <f>SUMIF($C:$C,$I62,X:X)</f>
        <v>600</v>
      </c>
      <c r="Y62" s="26"/>
      <c r="Z62" s="26"/>
      <c r="AA62" s="27">
        <f>N62/O62*100</f>
        <v>38.368421052631582</v>
      </c>
      <c r="AB62" s="37"/>
      <c r="AC62" s="27"/>
      <c r="AD62" s="27"/>
      <c r="AE62" s="27" t="str">
        <f t="shared" si="0"/>
        <v>FALSE</v>
      </c>
      <c r="AF62" s="1"/>
    </row>
    <row r="63" spans="1:32" x14ac:dyDescent="0.25">
      <c r="A63" s="1"/>
      <c r="B63" s="14"/>
      <c r="C63" s="14"/>
      <c r="D63" s="14"/>
      <c r="E63" s="14" t="s">
        <v>22</v>
      </c>
      <c r="F63" s="18" t="s">
        <v>25</v>
      </c>
      <c r="G63" s="16" t="s">
        <v>26</v>
      </c>
      <c r="H63" s="54" t="str">
        <f>IF(H64="","DNR",0)</f>
        <v>DNR</v>
      </c>
      <c r="I63" s="53">
        <v>0</v>
      </c>
      <c r="J63" s="54">
        <v>0</v>
      </c>
      <c r="K63" s="54">
        <v>0</v>
      </c>
      <c r="L63" s="54">
        <v>0</v>
      </c>
      <c r="M63" s="54">
        <v>0</v>
      </c>
      <c r="N63" s="54" t="str">
        <f>IF(F64="","DNR",0)</f>
        <v>DNR</v>
      </c>
      <c r="O63" s="54">
        <v>0</v>
      </c>
      <c r="P63" s="54">
        <v>0</v>
      </c>
      <c r="Q63" s="54">
        <v>0</v>
      </c>
      <c r="R63" s="54">
        <v>0</v>
      </c>
      <c r="S63" s="54">
        <v>0</v>
      </c>
      <c r="T63" s="54">
        <v>0</v>
      </c>
      <c r="U63" s="54">
        <v>0</v>
      </c>
      <c r="V63" s="54">
        <v>0</v>
      </c>
      <c r="W63" s="54">
        <v>0</v>
      </c>
      <c r="X63" s="54">
        <v>0</v>
      </c>
      <c r="Y63" s="54">
        <v>0</v>
      </c>
      <c r="Z63" s="54">
        <v>0</v>
      </c>
      <c r="AA63" s="55">
        <v>0</v>
      </c>
      <c r="AB63" s="17"/>
      <c r="AC63" s="17"/>
      <c r="AD63" s="17"/>
      <c r="AE63" s="17" t="str">
        <f t="shared" si="0"/>
        <v>TRUE</v>
      </c>
      <c r="AF63" s="1"/>
    </row>
    <row r="64" spans="1:32" x14ac:dyDescent="0.25">
      <c r="A64" s="1"/>
      <c r="B64" s="5">
        <v>1</v>
      </c>
      <c r="C64" s="5" t="str">
        <f>$F$52&amp;E64</f>
        <v>C        FS04</v>
      </c>
      <c r="D64" s="5" t="str">
        <f>$F$52&amp;E64&amp;" "&amp;B64</f>
        <v>C        FS04 1</v>
      </c>
      <c r="E64" s="5" t="str">
        <f>F63</f>
        <v xml:space="preserve">        FS04</v>
      </c>
      <c r="F64" s="5" t="str">
        <f>IFERROR(VLOOKUP($D64,Original!$D:$AE,4,0),"")</f>
        <v/>
      </c>
      <c r="G64" s="5" t="str">
        <f>IFERROR(VLOOKUP($D64,Original!$D:$AE,5,0),"")</f>
        <v/>
      </c>
      <c r="H64" s="5" t="str">
        <f>IFERROR(VLOOKUP($D64,Original!$D:$AE,6,0),"")</f>
        <v/>
      </c>
      <c r="I64" s="6" t="str">
        <f>IFERROR(VLOOKUP($D64,Original!$D:$AE,7,0),"")</f>
        <v/>
      </c>
      <c r="J64" s="7" t="str">
        <f>IFERROR(VLOOKUP($D64,Original!$D:$AE,8,0),"")</f>
        <v/>
      </c>
      <c r="K64" s="7" t="str">
        <f>IFERROR(VLOOKUP($D64,Original!$D:$AE,9,0),"")</f>
        <v/>
      </c>
      <c r="L64" s="8" t="str">
        <f>IFERROR(VLOOKUP($D64,Original!$D:$AE,10,0),"")</f>
        <v/>
      </c>
      <c r="M64" s="8" t="str">
        <f>IFERROR(VLOOKUP($D64,Original!$D:$AE,11,0),"")</f>
        <v/>
      </c>
      <c r="N64" s="64" t="str">
        <f>IFERROR(VLOOKUP($D64,Original!$D:$AE,12,0),"")</f>
        <v/>
      </c>
      <c r="O64" s="64" t="str">
        <f>IFERROR(VLOOKUP($D64,Original!$D:$AE,13,0),"")</f>
        <v/>
      </c>
      <c r="P64" s="64" t="str">
        <f>IFERROR(VLOOKUP($D64,Original!$D:$AE,14,0),"")</f>
        <v/>
      </c>
      <c r="Q64" s="64" t="str">
        <f>IFERROR(VLOOKUP($D64,Original!$D:$AE,15,0),"")</f>
        <v/>
      </c>
      <c r="R64" s="64" t="str">
        <f>IFERROR(VLOOKUP($D64,Original!$D:$AE,16,0),"")</f>
        <v/>
      </c>
      <c r="S64" s="64" t="str">
        <f>IFERROR(VLOOKUP($D64,Original!$D:$AE,17,0),"")</f>
        <v/>
      </c>
      <c r="T64" s="64" t="str">
        <f>IFERROR(VLOOKUP($D64,Original!$D:$AE,18,0),"")</f>
        <v/>
      </c>
      <c r="U64" s="64" t="str">
        <f>IFERROR(VLOOKUP($D64,Original!$D:$AE,19,0),"")</f>
        <v/>
      </c>
      <c r="V64" s="64" t="str">
        <f>IFERROR(VLOOKUP($D64,Original!$D:$AE,20,0),"")</f>
        <v/>
      </c>
      <c r="W64" s="64" t="str">
        <f>IFERROR(VLOOKUP($D64,Original!$D:$AE,21,0),"")</f>
        <v/>
      </c>
      <c r="X64" s="64" t="str">
        <f>IFERROR(VLOOKUP($D64,Original!$D:$AE,22,0),"")</f>
        <v/>
      </c>
      <c r="Y64" s="65" t="str">
        <f>IFERROR(VLOOKUP($D64,Original!$D:$AE,23,0),"")</f>
        <v/>
      </c>
      <c r="Z64" s="8" t="str">
        <f>IFERROR(VLOOKUP($D64,Original!$D:$AE,124,0),"")</f>
        <v/>
      </c>
      <c r="AA64" s="8" t="str">
        <f>IFERROR(VLOOKUP($D64,Original!$D:$AE,25,0),"")</f>
        <v/>
      </c>
      <c r="AB64" s="23"/>
      <c r="AC64" s="8"/>
      <c r="AD64" s="8"/>
      <c r="AE64" s="8" t="str">
        <f t="shared" si="0"/>
        <v>TRUE</v>
      </c>
      <c r="AF64" s="1"/>
    </row>
    <row r="65" spans="1:32" x14ac:dyDescent="0.25">
      <c r="A65" s="1"/>
      <c r="B65" s="5">
        <v>2</v>
      </c>
      <c r="C65" s="5" t="str">
        <f>$F$52&amp;E65</f>
        <v>C        FS04</v>
      </c>
      <c r="D65" s="5" t="str">
        <f t="shared" ref="D65:D66" si="22">$F$52&amp;E65&amp;" "&amp;B65</f>
        <v>C        FS04 2</v>
      </c>
      <c r="E65" s="5" t="str">
        <f>F63</f>
        <v xml:space="preserve">        FS04</v>
      </c>
      <c r="F65" s="5" t="str">
        <f>IFERROR(VLOOKUP($D65,Original!$D:$AE,4,0),"")</f>
        <v/>
      </c>
      <c r="G65" s="5" t="str">
        <f>IFERROR(VLOOKUP($D65,Original!$D:$AE,5,0),"")</f>
        <v/>
      </c>
      <c r="H65" s="5" t="str">
        <f>IFERROR(VLOOKUP($D65,Original!$D:$AE,6,0),"")</f>
        <v/>
      </c>
      <c r="I65" s="6" t="str">
        <f>IFERROR(VLOOKUP($D65,Original!$D:$AE,7,0),"")</f>
        <v/>
      </c>
      <c r="J65" s="7" t="str">
        <f>IFERROR(VLOOKUP($D65,Original!$D:$AE,8,0),"")</f>
        <v/>
      </c>
      <c r="K65" s="7" t="str">
        <f>IFERROR(VLOOKUP($D65,Original!$D:$AE,9,0),"")</f>
        <v/>
      </c>
      <c r="L65" s="8" t="str">
        <f>IFERROR(VLOOKUP($D65,Original!$D:$AE,10,0),"")</f>
        <v/>
      </c>
      <c r="M65" s="8" t="str">
        <f>IFERROR(VLOOKUP($D65,Original!$D:$AE,11,0),"")</f>
        <v/>
      </c>
      <c r="N65" s="64" t="str">
        <f>IFERROR(VLOOKUP($D65,Original!$D:$AE,12,0),"")</f>
        <v/>
      </c>
      <c r="O65" s="64" t="str">
        <f>IFERROR(VLOOKUP($D65,Original!$D:$AE,13,0),"")</f>
        <v/>
      </c>
      <c r="P65" s="64" t="str">
        <f>IFERROR(VLOOKUP($D65,Original!$D:$AE,14,0),"")</f>
        <v/>
      </c>
      <c r="Q65" s="64" t="str">
        <f>IFERROR(VLOOKUP($D65,Original!$D:$AE,15,0),"")</f>
        <v/>
      </c>
      <c r="R65" s="64" t="str">
        <f>IFERROR(VLOOKUP($D65,Original!$D:$AE,16,0),"")</f>
        <v/>
      </c>
      <c r="S65" s="64" t="str">
        <f>IFERROR(VLOOKUP($D65,Original!$D:$AE,17,0),"")</f>
        <v/>
      </c>
      <c r="T65" s="64" t="str">
        <f>IFERROR(VLOOKUP($D65,Original!$D:$AE,18,0),"")</f>
        <v/>
      </c>
      <c r="U65" s="64" t="str">
        <f>IFERROR(VLOOKUP($D65,Original!$D:$AE,19,0),"")</f>
        <v/>
      </c>
      <c r="V65" s="64" t="str">
        <f>IFERROR(VLOOKUP($D65,Original!$D:$AE,20,0),"")</f>
        <v/>
      </c>
      <c r="W65" s="64" t="str">
        <f>IFERROR(VLOOKUP($D65,Original!$D:$AE,21,0),"")</f>
        <v/>
      </c>
      <c r="X65" s="64" t="str">
        <f>IFERROR(VLOOKUP($D65,Original!$D:$AE,22,0),"")</f>
        <v/>
      </c>
      <c r="Y65" s="65" t="str">
        <f>IFERROR(VLOOKUP($D65,Original!$D:$AE,23,0),"")</f>
        <v/>
      </c>
      <c r="Z65" s="8" t="str">
        <f>IFERROR(VLOOKUP($D65,Original!$D:$AE,124,0),"")</f>
        <v/>
      </c>
      <c r="AA65" s="8" t="str">
        <f>IFERROR(VLOOKUP($D65,Original!$D:$AE,25,0),"")</f>
        <v/>
      </c>
      <c r="AB65" s="23"/>
      <c r="AC65" s="8"/>
      <c r="AD65" s="8"/>
      <c r="AE65" s="8" t="str">
        <f t="shared" si="0"/>
        <v>TRUE</v>
      </c>
      <c r="AF65" s="1"/>
    </row>
    <row r="66" spans="1:32" x14ac:dyDescent="0.25">
      <c r="A66" s="1"/>
      <c r="B66" s="5">
        <v>3</v>
      </c>
      <c r="C66" s="5" t="str">
        <f>$F$52&amp;E66</f>
        <v>C        FS04</v>
      </c>
      <c r="D66" s="5" t="str">
        <f t="shared" si="22"/>
        <v>C        FS04 3</v>
      </c>
      <c r="E66" s="5" t="str">
        <f>F63</f>
        <v xml:space="preserve">        FS04</v>
      </c>
      <c r="F66" s="5" t="str">
        <f>IFERROR(VLOOKUP($D66,Original!$D:$AE,4,0),"")</f>
        <v/>
      </c>
      <c r="G66" s="5" t="str">
        <f>IFERROR(VLOOKUP($D66,Original!$D:$AE,5,0),"")</f>
        <v/>
      </c>
      <c r="H66" s="5" t="str">
        <f>IFERROR(VLOOKUP($D66,Original!$D:$AE,6,0),"")</f>
        <v/>
      </c>
      <c r="I66" s="6" t="str">
        <f>IFERROR(VLOOKUP($D66,Original!$D:$AE,7,0),"")</f>
        <v/>
      </c>
      <c r="J66" s="7" t="str">
        <f>IFERROR(VLOOKUP($D66,Original!$D:$AE,8,0),"")</f>
        <v/>
      </c>
      <c r="K66" s="7" t="str">
        <f>IFERROR(VLOOKUP($D66,Original!$D:$AE,9,0),"")</f>
        <v/>
      </c>
      <c r="L66" s="8" t="str">
        <f>IFERROR(VLOOKUP($D66,Original!$D:$AE,10,0),"")</f>
        <v/>
      </c>
      <c r="M66" s="8" t="str">
        <f>IFERROR(VLOOKUP($D66,Original!$D:$AE,11,0),"")</f>
        <v/>
      </c>
      <c r="N66" s="64" t="str">
        <f>IFERROR(VLOOKUP($D66,Original!$D:$AE,12,0),"")</f>
        <v/>
      </c>
      <c r="O66" s="64" t="str">
        <f>IFERROR(VLOOKUP($D66,Original!$D:$AE,13,0),"")</f>
        <v/>
      </c>
      <c r="P66" s="64" t="str">
        <f>IFERROR(VLOOKUP($D66,Original!$D:$AE,14,0),"")</f>
        <v/>
      </c>
      <c r="Q66" s="64" t="str">
        <f>IFERROR(VLOOKUP($D66,Original!$D:$AE,15,0),"")</f>
        <v/>
      </c>
      <c r="R66" s="64" t="str">
        <f>IFERROR(VLOOKUP($D66,Original!$D:$AE,16,0),"")</f>
        <v/>
      </c>
      <c r="S66" s="64" t="str">
        <f>IFERROR(VLOOKUP($D66,Original!$D:$AE,17,0),"")</f>
        <v/>
      </c>
      <c r="T66" s="64" t="str">
        <f>IFERROR(VLOOKUP($D66,Original!$D:$AE,18,0),"")</f>
        <v/>
      </c>
      <c r="U66" s="64" t="str">
        <f>IFERROR(VLOOKUP($D66,Original!$D:$AE,19,0),"")</f>
        <v/>
      </c>
      <c r="V66" s="64" t="str">
        <f>IFERROR(VLOOKUP($D66,Original!$D:$AE,20,0),"")</f>
        <v/>
      </c>
      <c r="W66" s="64" t="str">
        <f>IFERROR(VLOOKUP($D66,Original!$D:$AE,21,0),"")</f>
        <v/>
      </c>
      <c r="X66" s="64" t="str">
        <f>IFERROR(VLOOKUP($D66,Original!$D:$AE,22,0),"")</f>
        <v/>
      </c>
      <c r="Y66" s="65" t="str">
        <f>IFERROR(VLOOKUP($D66,Original!$D:$AE,23,0),"")</f>
        <v/>
      </c>
      <c r="Z66" s="8" t="str">
        <f>IFERROR(VLOOKUP($D66,Original!$D:$AE,124,0),"")</f>
        <v/>
      </c>
      <c r="AA66" s="8" t="str">
        <f>IFERROR(VLOOKUP($D66,Original!$D:$AE,25,0),"")</f>
        <v/>
      </c>
      <c r="AB66" s="23"/>
      <c r="AC66" s="8"/>
      <c r="AD66" s="8"/>
      <c r="AE66" s="8" t="str">
        <f t="shared" si="0"/>
        <v>TRUE</v>
      </c>
      <c r="AF66" s="1"/>
    </row>
    <row r="67" spans="1:32" x14ac:dyDescent="0.25">
      <c r="A67" s="1"/>
      <c r="B67" s="12"/>
      <c r="C67" s="12"/>
      <c r="D67" s="12"/>
      <c r="E67" s="12"/>
      <c r="F67" s="62" t="str">
        <f>IF(F64="","",0)</f>
        <v/>
      </c>
      <c r="G67" s="13"/>
      <c r="H67" s="34" t="str">
        <f>$F$52</f>
        <v>C</v>
      </c>
      <c r="I67" s="34" t="str">
        <f>$F$52&amp;J67</f>
        <v>C        FS04</v>
      </c>
      <c r="J67" s="67" t="str">
        <f>F63</f>
        <v xml:space="preserve">        FS04</v>
      </c>
      <c r="K67" s="67"/>
      <c r="L67" s="67" t="s">
        <v>19</v>
      </c>
      <c r="M67" s="67"/>
      <c r="N67" s="42">
        <f>SUMIF($C:$C,$I67,N:N)</f>
        <v>0</v>
      </c>
      <c r="O67" s="42">
        <f>SUMIF($C:$C,$I67,O:O)</f>
        <v>0</v>
      </c>
      <c r="P67" s="42">
        <f>SUMIF($C:$C,$I67,P:P)</f>
        <v>0</v>
      </c>
      <c r="Q67" s="42">
        <f>SUMIF($C:$C,$I67,Q:Q)</f>
        <v>0</v>
      </c>
      <c r="R67" s="42">
        <f>SUMIF($C:$C,$I67,R:R)</f>
        <v>0</v>
      </c>
      <c r="S67" s="42">
        <f>SUMIF($C:$C,$I67,S:S)</f>
        <v>0</v>
      </c>
      <c r="T67" s="42">
        <f>SUMIF($C:$C,$I67,T:T)</f>
        <v>0</v>
      </c>
      <c r="U67" s="42"/>
      <c r="V67" s="42">
        <f>SUMIF($C:$C,$I67,V:V)</f>
        <v>0</v>
      </c>
      <c r="W67" s="42">
        <f>SUMIF($C:$C,$I67,W:W)</f>
        <v>0</v>
      </c>
      <c r="X67" s="42">
        <f>SUMIF($C:$C,$I67,X:X)</f>
        <v>0</v>
      </c>
      <c r="Y67" s="26"/>
      <c r="Z67" s="26"/>
      <c r="AA67" s="27" t="e">
        <f>N67/O67*100</f>
        <v>#DIV/0!</v>
      </c>
      <c r="AB67" s="37"/>
      <c r="AC67" s="27"/>
      <c r="AD67" s="27"/>
      <c r="AE67" s="27" t="str">
        <f t="shared" si="0"/>
        <v>TRUE</v>
      </c>
      <c r="AF67" s="1"/>
    </row>
    <row r="68" spans="1:32" x14ac:dyDescent="0.25">
      <c r="A68" s="1"/>
      <c r="B68" s="14"/>
      <c r="C68" s="14"/>
      <c r="D68" s="14"/>
      <c r="E68" s="14" t="s">
        <v>22</v>
      </c>
      <c r="F68" s="18" t="s">
        <v>27</v>
      </c>
      <c r="G68" s="16" t="s">
        <v>28</v>
      </c>
      <c r="H68" s="54" t="str">
        <f>IF(H69="","DNR",0)</f>
        <v>DNR</v>
      </c>
      <c r="I68" s="53">
        <v>0</v>
      </c>
      <c r="J68" s="54">
        <v>0</v>
      </c>
      <c r="K68" s="54">
        <v>0</v>
      </c>
      <c r="L68" s="54">
        <v>0</v>
      </c>
      <c r="M68" s="54">
        <v>0</v>
      </c>
      <c r="N68" s="54" t="str">
        <f>IF(F69="","DNR",0)</f>
        <v>DNR</v>
      </c>
      <c r="O68" s="54">
        <v>0</v>
      </c>
      <c r="P68" s="54">
        <v>0</v>
      </c>
      <c r="Q68" s="54">
        <v>0</v>
      </c>
      <c r="R68" s="54">
        <v>0</v>
      </c>
      <c r="S68" s="54">
        <v>0</v>
      </c>
      <c r="T68" s="54">
        <v>0</v>
      </c>
      <c r="U68" s="54">
        <v>0</v>
      </c>
      <c r="V68" s="54">
        <v>0</v>
      </c>
      <c r="W68" s="54">
        <v>0</v>
      </c>
      <c r="X68" s="54">
        <v>0</v>
      </c>
      <c r="Y68" s="54">
        <v>0</v>
      </c>
      <c r="Z68" s="54">
        <v>0</v>
      </c>
      <c r="AA68" s="55">
        <v>0</v>
      </c>
      <c r="AB68" s="17"/>
      <c r="AC68" s="17"/>
      <c r="AD68" s="17"/>
      <c r="AE68" s="17" t="str">
        <f t="shared" si="0"/>
        <v>TRUE</v>
      </c>
      <c r="AF68" s="1"/>
    </row>
    <row r="69" spans="1:32" x14ac:dyDescent="0.25">
      <c r="A69" s="1"/>
      <c r="B69" s="5">
        <v>1</v>
      </c>
      <c r="C69" s="5" t="str">
        <f>$F$52&amp;E69</f>
        <v>C        FS05</v>
      </c>
      <c r="D69" s="5" t="str">
        <f>$F$52&amp;E69&amp;" "&amp;B69</f>
        <v>C        FS05 1</v>
      </c>
      <c r="E69" s="5" t="str">
        <f>F68</f>
        <v xml:space="preserve">        FS05</v>
      </c>
      <c r="F69" s="5" t="str">
        <f>IFERROR(VLOOKUP($D69,Original!$D:$AE,4,0),"")</f>
        <v/>
      </c>
      <c r="G69" s="5" t="str">
        <f>IFERROR(VLOOKUP($D69,Original!$D:$AE,5,0),"")</f>
        <v/>
      </c>
      <c r="H69" s="5" t="str">
        <f>IFERROR(VLOOKUP($D69,Original!$D:$AE,6,0),"")</f>
        <v/>
      </c>
      <c r="I69" s="6" t="str">
        <f>IFERROR(VLOOKUP($D69,Original!$D:$AE,7,0),"")</f>
        <v/>
      </c>
      <c r="J69" s="7" t="str">
        <f>IFERROR(VLOOKUP($D69,Original!$D:$AE,8,0),"")</f>
        <v/>
      </c>
      <c r="K69" s="7" t="str">
        <f>IFERROR(VLOOKUP($D69,Original!$D:$AE,9,0),"")</f>
        <v/>
      </c>
      <c r="L69" s="8" t="str">
        <f>IFERROR(VLOOKUP($D69,Original!$D:$AE,10,0),"")</f>
        <v/>
      </c>
      <c r="M69" s="8" t="str">
        <f>IFERROR(VLOOKUP($D69,Original!$D:$AE,11,0),"")</f>
        <v/>
      </c>
      <c r="N69" s="64" t="str">
        <f>IFERROR(VLOOKUP($D69,Original!$D:$AE,12,0),"")</f>
        <v/>
      </c>
      <c r="O69" s="64" t="str">
        <f>IFERROR(VLOOKUP($D69,Original!$D:$AE,13,0),"")</f>
        <v/>
      </c>
      <c r="P69" s="64" t="str">
        <f>IFERROR(VLOOKUP($D69,Original!$D:$AE,14,0),"")</f>
        <v/>
      </c>
      <c r="Q69" s="64" t="str">
        <f>IFERROR(VLOOKUP($D69,Original!$D:$AE,15,0),"")</f>
        <v/>
      </c>
      <c r="R69" s="64" t="str">
        <f>IFERROR(VLOOKUP($D69,Original!$D:$AE,16,0),"")</f>
        <v/>
      </c>
      <c r="S69" s="64" t="str">
        <f>IFERROR(VLOOKUP($D69,Original!$D:$AE,17,0),"")</f>
        <v/>
      </c>
      <c r="T69" s="64" t="str">
        <f>IFERROR(VLOOKUP($D69,Original!$D:$AE,18,0),"")</f>
        <v/>
      </c>
      <c r="U69" s="64" t="str">
        <f>IFERROR(VLOOKUP($D69,Original!$D:$AE,19,0),"")</f>
        <v/>
      </c>
      <c r="V69" s="64" t="str">
        <f>IFERROR(VLOOKUP($D69,Original!$D:$AE,20,0),"")</f>
        <v/>
      </c>
      <c r="W69" s="64" t="str">
        <f>IFERROR(VLOOKUP($D69,Original!$D:$AE,21,0),"")</f>
        <v/>
      </c>
      <c r="X69" s="64" t="str">
        <f>IFERROR(VLOOKUP($D69,Original!$D:$AE,22,0),"")</f>
        <v/>
      </c>
      <c r="Y69" s="65" t="str">
        <f>IFERROR(VLOOKUP($D69,Original!$D:$AE,23,0),"")</f>
        <v/>
      </c>
      <c r="Z69" s="8" t="str">
        <f>IFERROR(VLOOKUP($D69,Original!$D:$AE,124,0),"")</f>
        <v/>
      </c>
      <c r="AA69" s="8" t="str">
        <f>IFERROR(VLOOKUP($D69,Original!$D:$AE,25,0),"")</f>
        <v/>
      </c>
      <c r="AB69" s="23"/>
      <c r="AC69" s="8"/>
      <c r="AD69" s="8"/>
      <c r="AE69" s="8" t="str">
        <f t="shared" si="0"/>
        <v>TRUE</v>
      </c>
      <c r="AF69" s="1"/>
    </row>
    <row r="70" spans="1:32" x14ac:dyDescent="0.25">
      <c r="A70" s="1"/>
      <c r="B70" s="5">
        <v>2</v>
      </c>
      <c r="C70" s="5" t="str">
        <f>$F$52&amp;E70</f>
        <v>C        FS05</v>
      </c>
      <c r="D70" s="5" t="str">
        <f t="shared" ref="D70:D71" si="23">$F$52&amp;E70&amp;" "&amp;B70</f>
        <v>C        FS05 2</v>
      </c>
      <c r="E70" s="5" t="str">
        <f>F68</f>
        <v xml:space="preserve">        FS05</v>
      </c>
      <c r="F70" s="5" t="str">
        <f>IFERROR(VLOOKUP($D70,Original!$D:$AE,4,0),"")</f>
        <v/>
      </c>
      <c r="G70" s="5" t="str">
        <f>IFERROR(VLOOKUP($D70,Original!$D:$AE,5,0),"")</f>
        <v/>
      </c>
      <c r="H70" s="5" t="str">
        <f>IFERROR(VLOOKUP($D70,Original!$D:$AE,6,0),"")</f>
        <v/>
      </c>
      <c r="I70" s="6" t="str">
        <f>IFERROR(VLOOKUP($D70,Original!$D:$AE,7,0),"")</f>
        <v/>
      </c>
      <c r="J70" s="7" t="str">
        <f>IFERROR(VLOOKUP($D70,Original!$D:$AE,8,0),"")</f>
        <v/>
      </c>
      <c r="K70" s="7" t="str">
        <f>IFERROR(VLOOKUP($D70,Original!$D:$AE,9,0),"")</f>
        <v/>
      </c>
      <c r="L70" s="8" t="str">
        <f>IFERROR(VLOOKUP($D70,Original!$D:$AE,10,0),"")</f>
        <v/>
      </c>
      <c r="M70" s="8" t="str">
        <f>IFERROR(VLOOKUP($D70,Original!$D:$AE,11,0),"")</f>
        <v/>
      </c>
      <c r="N70" s="64" t="str">
        <f>IFERROR(VLOOKUP($D70,Original!$D:$AE,12,0),"")</f>
        <v/>
      </c>
      <c r="O70" s="64" t="str">
        <f>IFERROR(VLOOKUP($D70,Original!$D:$AE,13,0),"")</f>
        <v/>
      </c>
      <c r="P70" s="64" t="str">
        <f>IFERROR(VLOOKUP($D70,Original!$D:$AE,14,0),"")</f>
        <v/>
      </c>
      <c r="Q70" s="64" t="str">
        <f>IFERROR(VLOOKUP($D70,Original!$D:$AE,15,0),"")</f>
        <v/>
      </c>
      <c r="R70" s="64" t="str">
        <f>IFERROR(VLOOKUP($D70,Original!$D:$AE,16,0),"")</f>
        <v/>
      </c>
      <c r="S70" s="64" t="str">
        <f>IFERROR(VLOOKUP($D70,Original!$D:$AE,17,0),"")</f>
        <v/>
      </c>
      <c r="T70" s="64" t="str">
        <f>IFERROR(VLOOKUP($D70,Original!$D:$AE,18,0),"")</f>
        <v/>
      </c>
      <c r="U70" s="64" t="str">
        <f>IFERROR(VLOOKUP($D70,Original!$D:$AE,19,0),"")</f>
        <v/>
      </c>
      <c r="V70" s="64" t="str">
        <f>IFERROR(VLOOKUP($D70,Original!$D:$AE,20,0),"")</f>
        <v/>
      </c>
      <c r="W70" s="64" t="str">
        <f>IFERROR(VLOOKUP($D70,Original!$D:$AE,21,0),"")</f>
        <v/>
      </c>
      <c r="X70" s="64" t="str">
        <f>IFERROR(VLOOKUP($D70,Original!$D:$AE,22,0),"")</f>
        <v/>
      </c>
      <c r="Y70" s="65" t="str">
        <f>IFERROR(VLOOKUP($D70,Original!$D:$AE,23,0),"")</f>
        <v/>
      </c>
      <c r="Z70" s="8" t="str">
        <f>IFERROR(VLOOKUP($D70,Original!$D:$AE,124,0),"")</f>
        <v/>
      </c>
      <c r="AA70" s="8" t="str">
        <f>IFERROR(VLOOKUP($D70,Original!$D:$AE,25,0),"")</f>
        <v/>
      </c>
      <c r="AB70" s="23"/>
      <c r="AC70" s="8"/>
      <c r="AD70" s="8"/>
      <c r="AE70" s="8" t="str">
        <f t="shared" si="0"/>
        <v>TRUE</v>
      </c>
      <c r="AF70" s="1"/>
    </row>
    <row r="71" spans="1:32" x14ac:dyDescent="0.25">
      <c r="A71" s="1"/>
      <c r="B71" s="5">
        <v>3</v>
      </c>
      <c r="C71" s="5" t="str">
        <f>$F$52&amp;E71</f>
        <v>C        FS05</v>
      </c>
      <c r="D71" s="5" t="str">
        <f t="shared" si="23"/>
        <v>C        FS05 3</v>
      </c>
      <c r="E71" s="5" t="str">
        <f>F68</f>
        <v xml:space="preserve">        FS05</v>
      </c>
      <c r="F71" s="5" t="str">
        <f>IFERROR(VLOOKUP($D71,Original!$D:$AE,4,0),"")</f>
        <v/>
      </c>
      <c r="G71" s="5" t="str">
        <f>IFERROR(VLOOKUP($D71,Original!$D:$AE,5,0),"")</f>
        <v/>
      </c>
      <c r="H71" s="5" t="str">
        <f>IFERROR(VLOOKUP($D71,Original!$D:$AE,6,0),"")</f>
        <v/>
      </c>
      <c r="I71" s="6" t="str">
        <f>IFERROR(VLOOKUP($D71,Original!$D:$AE,7,0),"")</f>
        <v/>
      </c>
      <c r="J71" s="7" t="str">
        <f>IFERROR(VLOOKUP($D71,Original!$D:$AE,8,0),"")</f>
        <v/>
      </c>
      <c r="K71" s="7" t="str">
        <f>IFERROR(VLOOKUP($D71,Original!$D:$AE,9,0),"")</f>
        <v/>
      </c>
      <c r="L71" s="8" t="str">
        <f>IFERROR(VLOOKUP($D71,Original!$D:$AE,10,0),"")</f>
        <v/>
      </c>
      <c r="M71" s="8" t="str">
        <f>IFERROR(VLOOKUP($D71,Original!$D:$AE,11,0),"")</f>
        <v/>
      </c>
      <c r="N71" s="64" t="str">
        <f>IFERROR(VLOOKUP($D71,Original!$D:$AE,12,0),"")</f>
        <v/>
      </c>
      <c r="O71" s="64" t="str">
        <f>IFERROR(VLOOKUP($D71,Original!$D:$AE,13,0),"")</f>
        <v/>
      </c>
      <c r="P71" s="64" t="str">
        <f>IFERROR(VLOOKUP($D71,Original!$D:$AE,14,0),"")</f>
        <v/>
      </c>
      <c r="Q71" s="64" t="str">
        <f>IFERROR(VLOOKUP($D71,Original!$D:$AE,15,0),"")</f>
        <v/>
      </c>
      <c r="R71" s="64" t="str">
        <f>IFERROR(VLOOKUP($D71,Original!$D:$AE,16,0),"")</f>
        <v/>
      </c>
      <c r="S71" s="64" t="str">
        <f>IFERROR(VLOOKUP($D71,Original!$D:$AE,17,0),"")</f>
        <v/>
      </c>
      <c r="T71" s="64" t="str">
        <f>IFERROR(VLOOKUP($D71,Original!$D:$AE,18,0),"")</f>
        <v/>
      </c>
      <c r="U71" s="64" t="str">
        <f>IFERROR(VLOOKUP($D71,Original!$D:$AE,19,0),"")</f>
        <v/>
      </c>
      <c r="V71" s="64" t="str">
        <f>IFERROR(VLOOKUP($D71,Original!$D:$AE,20,0),"")</f>
        <v/>
      </c>
      <c r="W71" s="64" t="str">
        <f>IFERROR(VLOOKUP($D71,Original!$D:$AE,21,0),"")</f>
        <v/>
      </c>
      <c r="X71" s="64" t="str">
        <f>IFERROR(VLOOKUP($D71,Original!$D:$AE,22,0),"")</f>
        <v/>
      </c>
      <c r="Y71" s="65" t="str">
        <f>IFERROR(VLOOKUP($D71,Original!$D:$AE,23,0),"")</f>
        <v/>
      </c>
      <c r="Z71" s="8" t="str">
        <f>IFERROR(VLOOKUP($D71,Original!$D:$AE,124,0),"")</f>
        <v/>
      </c>
      <c r="AA71" s="8" t="str">
        <f>IFERROR(VLOOKUP($D71,Original!$D:$AE,25,0),"")</f>
        <v/>
      </c>
      <c r="AB71" s="23"/>
      <c r="AC71" s="8"/>
      <c r="AD71" s="8"/>
      <c r="AE71" s="8" t="str">
        <f t="shared" si="0"/>
        <v>TRUE</v>
      </c>
      <c r="AF71" s="1"/>
    </row>
    <row r="72" spans="1:32" x14ac:dyDescent="0.25">
      <c r="A72" s="1"/>
      <c r="B72" s="12"/>
      <c r="C72" s="12"/>
      <c r="D72" s="12"/>
      <c r="E72" s="12"/>
      <c r="F72" s="62" t="str">
        <f>IF(F69="","",0)</f>
        <v/>
      </c>
      <c r="G72" s="13"/>
      <c r="H72" s="34" t="str">
        <f>$F$52</f>
        <v>C</v>
      </c>
      <c r="I72" s="34" t="str">
        <f>$F$52&amp;J72</f>
        <v>C        FS05</v>
      </c>
      <c r="J72" s="67" t="str">
        <f>F68</f>
        <v xml:space="preserve">        FS05</v>
      </c>
      <c r="K72" s="67"/>
      <c r="L72" s="67" t="s">
        <v>19</v>
      </c>
      <c r="M72" s="67"/>
      <c r="N72" s="42">
        <f>SUMIF($C:$C,$I72,N:N)</f>
        <v>0</v>
      </c>
      <c r="O72" s="42">
        <f>SUMIF($C:$C,$I72,O:O)</f>
        <v>0</v>
      </c>
      <c r="P72" s="42">
        <f>SUMIF($C:$C,$I72,P:P)</f>
        <v>0</v>
      </c>
      <c r="Q72" s="42">
        <f>SUMIF($C:$C,$I72,Q:Q)</f>
        <v>0</v>
      </c>
      <c r="R72" s="42">
        <f>SUMIF($C:$C,$I72,R:R)</f>
        <v>0</v>
      </c>
      <c r="S72" s="42">
        <f>SUMIF($C:$C,$I72,S:S)</f>
        <v>0</v>
      </c>
      <c r="T72" s="42">
        <f>SUMIF($C:$C,$I72,T:T)</f>
        <v>0</v>
      </c>
      <c r="U72" s="42"/>
      <c r="V72" s="42">
        <f>SUMIF($C:$C,$I72,V:V)</f>
        <v>0</v>
      </c>
      <c r="W72" s="42">
        <f>SUMIF($C:$C,$I72,W:W)</f>
        <v>0</v>
      </c>
      <c r="X72" s="42">
        <f>SUMIF($C:$C,$I72,X:X)</f>
        <v>0</v>
      </c>
      <c r="Y72" s="26"/>
      <c r="Z72" s="26"/>
      <c r="AA72" s="27" t="e">
        <f>N72/O72*100</f>
        <v>#DIV/0!</v>
      </c>
      <c r="AB72" s="37"/>
      <c r="AC72" s="27"/>
      <c r="AD72" s="27"/>
      <c r="AE72" s="27" t="str">
        <f t="shared" si="0"/>
        <v>TRUE</v>
      </c>
      <c r="AF72" s="1"/>
    </row>
    <row r="73" spans="1:32" x14ac:dyDescent="0.25">
      <c r="A73" s="1"/>
      <c r="B73" s="14"/>
      <c r="C73" s="14"/>
      <c r="D73" s="14"/>
      <c r="E73" s="14" t="s">
        <v>22</v>
      </c>
      <c r="F73" s="18" t="s">
        <v>29</v>
      </c>
      <c r="G73" s="16" t="s">
        <v>30</v>
      </c>
      <c r="H73" s="54" t="str">
        <f>IF(H74="","DNR",0)</f>
        <v>DNR</v>
      </c>
      <c r="I73" s="53">
        <v>0</v>
      </c>
      <c r="J73" s="54">
        <v>0</v>
      </c>
      <c r="K73" s="54">
        <v>0</v>
      </c>
      <c r="L73" s="54">
        <v>0</v>
      </c>
      <c r="M73" s="54">
        <v>0</v>
      </c>
      <c r="N73" s="54" t="str">
        <f>IF(F74="","DNR",0)</f>
        <v>DNR</v>
      </c>
      <c r="O73" s="54">
        <v>0</v>
      </c>
      <c r="P73" s="54">
        <v>0</v>
      </c>
      <c r="Q73" s="54">
        <v>0</v>
      </c>
      <c r="R73" s="54">
        <v>0</v>
      </c>
      <c r="S73" s="54">
        <v>0</v>
      </c>
      <c r="T73" s="54">
        <v>0</v>
      </c>
      <c r="U73" s="54">
        <v>0</v>
      </c>
      <c r="V73" s="54">
        <v>0</v>
      </c>
      <c r="W73" s="54">
        <v>0</v>
      </c>
      <c r="X73" s="54">
        <v>0</v>
      </c>
      <c r="Y73" s="54">
        <v>0</v>
      </c>
      <c r="Z73" s="54">
        <v>0</v>
      </c>
      <c r="AA73" s="55">
        <v>0</v>
      </c>
      <c r="AB73" s="17"/>
      <c r="AC73" s="17"/>
      <c r="AD73" s="17"/>
      <c r="AE73" s="17" t="str">
        <f t="shared" si="0"/>
        <v>TRUE</v>
      </c>
      <c r="AF73" s="1"/>
    </row>
    <row r="74" spans="1:32" x14ac:dyDescent="0.25">
      <c r="A74" s="1"/>
      <c r="B74" s="5">
        <v>1</v>
      </c>
      <c r="C74" s="5" t="str">
        <f>$F$52&amp;E74</f>
        <v>C        FS08</v>
      </c>
      <c r="D74" s="5" t="str">
        <f>$F$52&amp;E74&amp;" "&amp;B74</f>
        <v>C        FS08 1</v>
      </c>
      <c r="E74" s="5" t="str">
        <f>F73</f>
        <v xml:space="preserve">        FS08</v>
      </c>
      <c r="F74" s="5" t="str">
        <f>IFERROR(VLOOKUP($D74,Original!$D:$AE,4,0),"")</f>
        <v/>
      </c>
      <c r="G74" s="5" t="str">
        <f>IFERROR(VLOOKUP($D74,Original!$D:$AE,5,0),"")</f>
        <v/>
      </c>
      <c r="H74" s="5" t="str">
        <f>IFERROR(VLOOKUP($D74,Original!$D:$AE,6,0),"")</f>
        <v/>
      </c>
      <c r="I74" s="6" t="str">
        <f>IFERROR(VLOOKUP($D74,Original!$D:$AE,7,0),"")</f>
        <v/>
      </c>
      <c r="J74" s="7" t="str">
        <f>IFERROR(VLOOKUP($D74,Original!$D:$AE,8,0),"")</f>
        <v/>
      </c>
      <c r="K74" s="7" t="str">
        <f>IFERROR(VLOOKUP($D74,Original!$D:$AE,9,0),"")</f>
        <v/>
      </c>
      <c r="L74" s="8" t="str">
        <f>IFERROR(VLOOKUP($D74,Original!$D:$AE,10,0),"")</f>
        <v/>
      </c>
      <c r="M74" s="8" t="str">
        <f>IFERROR(VLOOKUP($D74,Original!$D:$AE,11,0),"")</f>
        <v/>
      </c>
      <c r="N74" s="64" t="str">
        <f>IFERROR(VLOOKUP($D74,Original!$D:$AE,12,0),"")</f>
        <v/>
      </c>
      <c r="O74" s="64" t="str">
        <f>IFERROR(VLOOKUP($D74,Original!$D:$AE,13,0),"")</f>
        <v/>
      </c>
      <c r="P74" s="64" t="str">
        <f>IFERROR(VLOOKUP($D74,Original!$D:$AE,14,0),"")</f>
        <v/>
      </c>
      <c r="Q74" s="64" t="str">
        <f>IFERROR(VLOOKUP($D74,Original!$D:$AE,15,0),"")</f>
        <v/>
      </c>
      <c r="R74" s="64" t="str">
        <f>IFERROR(VLOOKUP($D74,Original!$D:$AE,16,0),"")</f>
        <v/>
      </c>
      <c r="S74" s="64" t="str">
        <f>IFERROR(VLOOKUP($D74,Original!$D:$AE,17,0),"")</f>
        <v/>
      </c>
      <c r="T74" s="64" t="str">
        <f>IFERROR(VLOOKUP($D74,Original!$D:$AE,18,0),"")</f>
        <v/>
      </c>
      <c r="U74" s="64" t="str">
        <f>IFERROR(VLOOKUP($D74,Original!$D:$AE,19,0),"")</f>
        <v/>
      </c>
      <c r="V74" s="64" t="str">
        <f>IFERROR(VLOOKUP($D74,Original!$D:$AE,20,0),"")</f>
        <v/>
      </c>
      <c r="W74" s="64" t="str">
        <f>IFERROR(VLOOKUP($D74,Original!$D:$AE,21,0),"")</f>
        <v/>
      </c>
      <c r="X74" s="64" t="str">
        <f>IFERROR(VLOOKUP($D74,Original!$D:$AE,22,0),"")</f>
        <v/>
      </c>
      <c r="Y74" s="65" t="str">
        <f>IFERROR(VLOOKUP($D74,Original!$D:$AE,23,0),"")</f>
        <v/>
      </c>
      <c r="Z74" s="8" t="str">
        <f>IFERROR(VLOOKUP($D74,Original!$D:$AE,124,0),"")</f>
        <v/>
      </c>
      <c r="AA74" s="8" t="str">
        <f>IFERROR(VLOOKUP($D74,Original!$D:$AE,25,0),"")</f>
        <v/>
      </c>
      <c r="AB74" s="23"/>
      <c r="AC74" s="8"/>
      <c r="AD74" s="8"/>
      <c r="AE74" s="8" t="str">
        <f t="shared" si="0"/>
        <v>TRUE</v>
      </c>
      <c r="AF74" s="1"/>
    </row>
    <row r="75" spans="1:32" x14ac:dyDescent="0.25">
      <c r="A75" s="1"/>
      <c r="B75" s="5">
        <v>2</v>
      </c>
      <c r="C75" s="5" t="str">
        <f>$F$52&amp;E75</f>
        <v>C        FS08</v>
      </c>
      <c r="D75" s="5" t="str">
        <f t="shared" ref="D75:D76" si="24">$F$52&amp;E75&amp;" "&amp;B75</f>
        <v>C        FS08 2</v>
      </c>
      <c r="E75" s="5" t="str">
        <f>F73</f>
        <v xml:space="preserve">        FS08</v>
      </c>
      <c r="F75" s="5" t="str">
        <f>IFERROR(VLOOKUP($D75,Original!$D:$AE,4,0),"")</f>
        <v/>
      </c>
      <c r="G75" s="5" t="str">
        <f>IFERROR(VLOOKUP($D75,Original!$D:$AE,5,0),"")</f>
        <v/>
      </c>
      <c r="H75" s="5" t="str">
        <f>IFERROR(VLOOKUP($D75,Original!$D:$AE,6,0),"")</f>
        <v/>
      </c>
      <c r="I75" s="6" t="str">
        <f>IFERROR(VLOOKUP($D75,Original!$D:$AE,7,0),"")</f>
        <v/>
      </c>
      <c r="J75" s="7" t="str">
        <f>IFERROR(VLOOKUP($D75,Original!$D:$AE,8,0),"")</f>
        <v/>
      </c>
      <c r="K75" s="7" t="str">
        <f>IFERROR(VLOOKUP($D75,Original!$D:$AE,9,0),"")</f>
        <v/>
      </c>
      <c r="L75" s="8" t="str">
        <f>IFERROR(VLOOKUP($D75,Original!$D:$AE,10,0),"")</f>
        <v/>
      </c>
      <c r="M75" s="8" t="str">
        <f>IFERROR(VLOOKUP($D75,Original!$D:$AE,11,0),"")</f>
        <v/>
      </c>
      <c r="N75" s="64" t="str">
        <f>IFERROR(VLOOKUP($D75,Original!$D:$AE,12,0),"")</f>
        <v/>
      </c>
      <c r="O75" s="64" t="str">
        <f>IFERROR(VLOOKUP($D75,Original!$D:$AE,13,0),"")</f>
        <v/>
      </c>
      <c r="P75" s="64" t="str">
        <f>IFERROR(VLOOKUP($D75,Original!$D:$AE,14,0),"")</f>
        <v/>
      </c>
      <c r="Q75" s="64" t="str">
        <f>IFERROR(VLOOKUP($D75,Original!$D:$AE,15,0),"")</f>
        <v/>
      </c>
      <c r="R75" s="64" t="str">
        <f>IFERROR(VLOOKUP($D75,Original!$D:$AE,16,0),"")</f>
        <v/>
      </c>
      <c r="S75" s="64" t="str">
        <f>IFERROR(VLOOKUP($D75,Original!$D:$AE,17,0),"")</f>
        <v/>
      </c>
      <c r="T75" s="64" t="str">
        <f>IFERROR(VLOOKUP($D75,Original!$D:$AE,18,0),"")</f>
        <v/>
      </c>
      <c r="U75" s="64" t="str">
        <f>IFERROR(VLOOKUP($D75,Original!$D:$AE,19,0),"")</f>
        <v/>
      </c>
      <c r="V75" s="64" t="str">
        <f>IFERROR(VLOOKUP($D75,Original!$D:$AE,20,0),"")</f>
        <v/>
      </c>
      <c r="W75" s="64" t="str">
        <f>IFERROR(VLOOKUP($D75,Original!$D:$AE,21,0),"")</f>
        <v/>
      </c>
      <c r="X75" s="64" t="str">
        <f>IFERROR(VLOOKUP($D75,Original!$D:$AE,22,0),"")</f>
        <v/>
      </c>
      <c r="Y75" s="65" t="str">
        <f>IFERROR(VLOOKUP($D75,Original!$D:$AE,23,0),"")</f>
        <v/>
      </c>
      <c r="Z75" s="8" t="str">
        <f>IFERROR(VLOOKUP($D75,Original!$D:$AE,124,0),"")</f>
        <v/>
      </c>
      <c r="AA75" s="8" t="str">
        <f>IFERROR(VLOOKUP($D75,Original!$D:$AE,25,0),"")</f>
        <v/>
      </c>
      <c r="AB75" s="23"/>
      <c r="AC75" s="8"/>
      <c r="AD75" s="8"/>
      <c r="AE75" s="8" t="str">
        <f t="shared" ref="AE75:AE101" si="25">IF(OR(F75="",H75="DNR"), "TRUE", "FALSE")</f>
        <v>TRUE</v>
      </c>
      <c r="AF75" s="1"/>
    </row>
    <row r="76" spans="1:32" x14ac:dyDescent="0.25">
      <c r="A76" s="1"/>
      <c r="B76" s="5">
        <v>3</v>
      </c>
      <c r="C76" s="5" t="str">
        <f>$F$52&amp;E76</f>
        <v>C        FS08</v>
      </c>
      <c r="D76" s="5" t="str">
        <f t="shared" si="24"/>
        <v>C        FS08 3</v>
      </c>
      <c r="E76" s="5" t="str">
        <f>F73</f>
        <v xml:space="preserve">        FS08</v>
      </c>
      <c r="F76" s="5" t="str">
        <f>IFERROR(VLOOKUP($D76,Original!$D:$AE,4,0),"")</f>
        <v/>
      </c>
      <c r="G76" s="5" t="str">
        <f>IFERROR(VLOOKUP($D76,Original!$D:$AE,5,0),"")</f>
        <v/>
      </c>
      <c r="H76" s="5" t="str">
        <f>IFERROR(VLOOKUP($D76,Original!$D:$AE,6,0),"")</f>
        <v/>
      </c>
      <c r="I76" s="6" t="str">
        <f>IFERROR(VLOOKUP($D76,Original!$D:$AE,7,0),"")</f>
        <v/>
      </c>
      <c r="J76" s="7" t="str">
        <f>IFERROR(VLOOKUP($D76,Original!$D:$AE,8,0),"")</f>
        <v/>
      </c>
      <c r="K76" s="7" t="str">
        <f>IFERROR(VLOOKUP($D76,Original!$D:$AE,9,0),"")</f>
        <v/>
      </c>
      <c r="L76" s="8" t="str">
        <f>IFERROR(VLOOKUP($D76,Original!$D:$AE,10,0),"")</f>
        <v/>
      </c>
      <c r="M76" s="8" t="str">
        <f>IFERROR(VLOOKUP($D76,Original!$D:$AE,11,0),"")</f>
        <v/>
      </c>
      <c r="N76" s="64" t="str">
        <f>IFERROR(VLOOKUP($D76,Original!$D:$AE,12,0),"")</f>
        <v/>
      </c>
      <c r="O76" s="64" t="str">
        <f>IFERROR(VLOOKUP($D76,Original!$D:$AE,13,0),"")</f>
        <v/>
      </c>
      <c r="P76" s="64" t="str">
        <f>IFERROR(VLOOKUP($D76,Original!$D:$AE,14,0),"")</f>
        <v/>
      </c>
      <c r="Q76" s="64" t="str">
        <f>IFERROR(VLOOKUP($D76,Original!$D:$AE,15,0),"")</f>
        <v/>
      </c>
      <c r="R76" s="64" t="str">
        <f>IFERROR(VLOOKUP($D76,Original!$D:$AE,16,0),"")</f>
        <v/>
      </c>
      <c r="S76" s="64" t="str">
        <f>IFERROR(VLOOKUP($D76,Original!$D:$AE,17,0),"")</f>
        <v/>
      </c>
      <c r="T76" s="64" t="str">
        <f>IFERROR(VLOOKUP($D76,Original!$D:$AE,18,0),"")</f>
        <v/>
      </c>
      <c r="U76" s="64" t="str">
        <f>IFERROR(VLOOKUP($D76,Original!$D:$AE,19,0),"")</f>
        <v/>
      </c>
      <c r="V76" s="64" t="str">
        <f>IFERROR(VLOOKUP($D76,Original!$D:$AE,20,0),"")</f>
        <v/>
      </c>
      <c r="W76" s="64" t="str">
        <f>IFERROR(VLOOKUP($D76,Original!$D:$AE,21,0),"")</f>
        <v/>
      </c>
      <c r="X76" s="64" t="str">
        <f>IFERROR(VLOOKUP($D76,Original!$D:$AE,22,0),"")</f>
        <v/>
      </c>
      <c r="Y76" s="65" t="str">
        <f>IFERROR(VLOOKUP($D76,Original!$D:$AE,23,0),"")</f>
        <v/>
      </c>
      <c r="Z76" s="8" t="str">
        <f>IFERROR(VLOOKUP($D76,Original!$D:$AE,124,0),"")</f>
        <v/>
      </c>
      <c r="AA76" s="8" t="str">
        <f>IFERROR(VLOOKUP($D76,Original!$D:$AE,25,0),"")</f>
        <v/>
      </c>
      <c r="AB76" s="23"/>
      <c r="AC76" s="8"/>
      <c r="AD76" s="8"/>
      <c r="AE76" s="8" t="str">
        <f t="shared" si="25"/>
        <v>TRUE</v>
      </c>
      <c r="AF76" s="1"/>
    </row>
    <row r="77" spans="1:32" x14ac:dyDescent="0.25">
      <c r="A77" s="1"/>
      <c r="B77" s="12"/>
      <c r="C77" s="12"/>
      <c r="D77" s="12"/>
      <c r="E77" s="12"/>
      <c r="F77" s="62" t="str">
        <f>IF(F74="","",0)</f>
        <v/>
      </c>
      <c r="G77" s="13"/>
      <c r="H77" s="34" t="str">
        <f>$F$52</f>
        <v>C</v>
      </c>
      <c r="I77" s="34" t="str">
        <f>$F$52&amp;J77</f>
        <v>C        FS08</v>
      </c>
      <c r="J77" s="67" t="str">
        <f>F73</f>
        <v xml:space="preserve">        FS08</v>
      </c>
      <c r="K77" s="67"/>
      <c r="L77" s="67" t="s">
        <v>19</v>
      </c>
      <c r="M77" s="67"/>
      <c r="N77" s="42">
        <f>SUMIF($C:$C,$I77,N:N)</f>
        <v>0</v>
      </c>
      <c r="O77" s="42">
        <f>SUMIF($C:$C,$I77,O:O)</f>
        <v>0</v>
      </c>
      <c r="P77" s="42">
        <f>SUMIF($C:$C,$I77,P:P)</f>
        <v>0</v>
      </c>
      <c r="Q77" s="42">
        <f>SUMIF($C:$C,$I77,Q:Q)</f>
        <v>0</v>
      </c>
      <c r="R77" s="42">
        <f>SUMIF($C:$C,$I77,R:R)</f>
        <v>0</v>
      </c>
      <c r="S77" s="42">
        <f>SUMIF($C:$C,$I77,S:S)</f>
        <v>0</v>
      </c>
      <c r="T77" s="42">
        <f>SUMIF($C:$C,$I77,T:T)</f>
        <v>0</v>
      </c>
      <c r="U77" s="42"/>
      <c r="V77" s="42">
        <f>SUMIF($C:$C,$I77,V:V)</f>
        <v>0</v>
      </c>
      <c r="W77" s="42">
        <f>SUMIF($C:$C,$I77,W:W)</f>
        <v>0</v>
      </c>
      <c r="X77" s="42">
        <f>SUMIF($C:$C,$I77,X:X)</f>
        <v>0</v>
      </c>
      <c r="Y77" s="26"/>
      <c r="Z77" s="26"/>
      <c r="AA77" s="27" t="e">
        <f>N77/O77*100</f>
        <v>#DIV/0!</v>
      </c>
      <c r="AB77" s="37"/>
      <c r="AC77" s="27"/>
      <c r="AD77" s="27"/>
      <c r="AE77" s="27" t="str">
        <f t="shared" si="25"/>
        <v>TRUE</v>
      </c>
      <c r="AF77" s="1"/>
    </row>
    <row r="78" spans="1:32" x14ac:dyDescent="0.25">
      <c r="A78" s="1"/>
      <c r="B78" s="14"/>
      <c r="C78" s="14"/>
      <c r="D78" s="14"/>
      <c r="E78" s="14" t="s">
        <v>22</v>
      </c>
      <c r="F78" s="18" t="s">
        <v>46</v>
      </c>
      <c r="G78" s="16" t="s">
        <v>70</v>
      </c>
      <c r="H78" s="54" t="str">
        <f>IF(H79="","DNR",0)</f>
        <v>DNR</v>
      </c>
      <c r="I78" s="53">
        <v>0</v>
      </c>
      <c r="J78" s="54">
        <v>0</v>
      </c>
      <c r="K78" s="54">
        <v>0</v>
      </c>
      <c r="L78" s="54">
        <v>0</v>
      </c>
      <c r="M78" s="54">
        <v>0</v>
      </c>
      <c r="N78" s="54" t="str">
        <f>IF(F79="","DNR",0)</f>
        <v>DNR</v>
      </c>
      <c r="O78" s="54">
        <v>0</v>
      </c>
      <c r="P78" s="54">
        <v>0</v>
      </c>
      <c r="Q78" s="54">
        <v>0</v>
      </c>
      <c r="R78" s="54">
        <v>0</v>
      </c>
      <c r="S78" s="54">
        <v>0</v>
      </c>
      <c r="T78" s="54">
        <v>0</v>
      </c>
      <c r="U78" s="54">
        <v>0</v>
      </c>
      <c r="V78" s="54">
        <v>0</v>
      </c>
      <c r="W78" s="54">
        <v>0</v>
      </c>
      <c r="X78" s="54">
        <v>0</v>
      </c>
      <c r="Y78" s="54">
        <v>0</v>
      </c>
      <c r="Z78" s="54">
        <v>0</v>
      </c>
      <c r="AA78" s="55">
        <v>0</v>
      </c>
      <c r="AB78" s="55"/>
      <c r="AC78" s="55"/>
      <c r="AD78" s="55"/>
      <c r="AE78" s="55" t="str">
        <f t="shared" si="25"/>
        <v>TRUE</v>
      </c>
      <c r="AF78" s="1"/>
    </row>
    <row r="79" spans="1:32" x14ac:dyDescent="0.25">
      <c r="A79" s="1"/>
      <c r="B79" s="5">
        <v>1</v>
      </c>
      <c r="C79" s="5" t="str">
        <f>$F$52&amp;E79</f>
        <v>C        FS09</v>
      </c>
      <c r="D79" s="5" t="str">
        <f>$F$52&amp;E79&amp;" "&amp;B79</f>
        <v>C        FS09 1</v>
      </c>
      <c r="E79" s="5" t="str">
        <f>F78</f>
        <v xml:space="preserve">        FS09</v>
      </c>
      <c r="F79" s="5" t="str">
        <f>IFERROR(VLOOKUP($D79,Original!$D:$AE,4,0),"")</f>
        <v/>
      </c>
      <c r="G79" s="5" t="str">
        <f>IFERROR(VLOOKUP($D79,Original!$D:$AE,5,0),"")</f>
        <v/>
      </c>
      <c r="H79" s="5" t="str">
        <f>IFERROR(VLOOKUP($D79,Original!$D:$AE,6,0),"")</f>
        <v/>
      </c>
      <c r="I79" s="6" t="str">
        <f>IFERROR(VLOOKUP($D79,Original!$D:$AE,7,0),"")</f>
        <v/>
      </c>
      <c r="J79" s="7" t="str">
        <f>IFERROR(VLOOKUP($D79,Original!$D:$AE,8,0),"")</f>
        <v/>
      </c>
      <c r="K79" s="7" t="str">
        <f>IFERROR(VLOOKUP($D79,Original!$D:$AE,9,0),"")</f>
        <v/>
      </c>
      <c r="L79" s="8" t="str">
        <f>IFERROR(VLOOKUP($D79,Original!$D:$AE,10,0),"")</f>
        <v/>
      </c>
      <c r="M79" s="8" t="str">
        <f>IFERROR(VLOOKUP($D79,Original!$D:$AE,11,0),"")</f>
        <v/>
      </c>
      <c r="N79" s="64" t="str">
        <f>IFERROR(VLOOKUP($D79,Original!$D:$AE,12,0),"")</f>
        <v/>
      </c>
      <c r="O79" s="64" t="str">
        <f>IFERROR(VLOOKUP($D79,Original!$D:$AE,13,0),"")</f>
        <v/>
      </c>
      <c r="P79" s="64" t="str">
        <f>IFERROR(VLOOKUP($D79,Original!$D:$AE,14,0),"")</f>
        <v/>
      </c>
      <c r="Q79" s="64" t="str">
        <f>IFERROR(VLOOKUP($D79,Original!$D:$AE,15,0),"")</f>
        <v/>
      </c>
      <c r="R79" s="64" t="str">
        <f>IFERROR(VLOOKUP($D79,Original!$D:$AE,16,0),"")</f>
        <v/>
      </c>
      <c r="S79" s="64" t="str">
        <f>IFERROR(VLOOKUP($D79,Original!$D:$AE,17,0),"")</f>
        <v/>
      </c>
      <c r="T79" s="64" t="str">
        <f>IFERROR(VLOOKUP($D79,Original!$D:$AE,18,0),"")</f>
        <v/>
      </c>
      <c r="U79" s="64" t="str">
        <f>IFERROR(VLOOKUP($D79,Original!$D:$AE,19,0),"")</f>
        <v/>
      </c>
      <c r="V79" s="64" t="str">
        <f>IFERROR(VLOOKUP($D79,Original!$D:$AE,20,0),"")</f>
        <v/>
      </c>
      <c r="W79" s="64" t="str">
        <f>IFERROR(VLOOKUP($D79,Original!$D:$AE,21,0),"")</f>
        <v/>
      </c>
      <c r="X79" s="64" t="str">
        <f>IFERROR(VLOOKUP($D79,Original!$D:$AE,22,0),"")</f>
        <v/>
      </c>
      <c r="Y79" s="65" t="str">
        <f>IFERROR(VLOOKUP($D79,Original!$D:$AE,23,0),"")</f>
        <v/>
      </c>
      <c r="Z79" s="8" t="str">
        <f>IFERROR(VLOOKUP($D79,Original!$D:$AE,124,0),"")</f>
        <v/>
      </c>
      <c r="AA79" s="8" t="str">
        <f>IFERROR(VLOOKUP($D79,Original!$D:$AE,25,0),"")</f>
        <v/>
      </c>
      <c r="AB79" s="23"/>
      <c r="AC79" s="8"/>
      <c r="AD79" s="8"/>
      <c r="AE79" s="8" t="str">
        <f t="shared" si="25"/>
        <v>TRUE</v>
      </c>
      <c r="AF79" s="1"/>
    </row>
    <row r="80" spans="1:32" x14ac:dyDescent="0.25">
      <c r="A80" s="1"/>
      <c r="B80" s="5">
        <v>2</v>
      </c>
      <c r="C80" s="5" t="str">
        <f>$F$52&amp;E80</f>
        <v>C        FS09</v>
      </c>
      <c r="D80" s="5" t="str">
        <f t="shared" ref="D80:D81" si="26">$F$52&amp;E80&amp;" "&amp;B80</f>
        <v>C        FS09 2</v>
      </c>
      <c r="E80" s="5" t="str">
        <f>F78</f>
        <v xml:space="preserve">        FS09</v>
      </c>
      <c r="F80" s="5" t="str">
        <f>IFERROR(VLOOKUP($D80,Original!$D:$AE,4,0),"")</f>
        <v/>
      </c>
      <c r="G80" s="5" t="str">
        <f>IFERROR(VLOOKUP($D80,Original!$D:$AE,5,0),"")</f>
        <v/>
      </c>
      <c r="H80" s="5" t="str">
        <f>IFERROR(VLOOKUP($D80,Original!$D:$AE,6,0),"")</f>
        <v/>
      </c>
      <c r="I80" s="6" t="str">
        <f>IFERROR(VLOOKUP($D80,Original!$D:$AE,7,0),"")</f>
        <v/>
      </c>
      <c r="J80" s="7" t="str">
        <f>IFERROR(VLOOKUP($D80,Original!$D:$AE,8,0),"")</f>
        <v/>
      </c>
      <c r="K80" s="7" t="str">
        <f>IFERROR(VLOOKUP($D80,Original!$D:$AE,9,0),"")</f>
        <v/>
      </c>
      <c r="L80" s="8" t="str">
        <f>IFERROR(VLOOKUP($D80,Original!$D:$AE,10,0),"")</f>
        <v/>
      </c>
      <c r="M80" s="8" t="str">
        <f>IFERROR(VLOOKUP($D80,Original!$D:$AE,11,0),"")</f>
        <v/>
      </c>
      <c r="N80" s="64" t="str">
        <f>IFERROR(VLOOKUP($D80,Original!$D:$AE,12,0),"")</f>
        <v/>
      </c>
      <c r="O80" s="64" t="str">
        <f>IFERROR(VLOOKUP($D80,Original!$D:$AE,13,0),"")</f>
        <v/>
      </c>
      <c r="P80" s="64" t="str">
        <f>IFERROR(VLOOKUP($D80,Original!$D:$AE,14,0),"")</f>
        <v/>
      </c>
      <c r="Q80" s="64" t="str">
        <f>IFERROR(VLOOKUP($D80,Original!$D:$AE,15,0),"")</f>
        <v/>
      </c>
      <c r="R80" s="64" t="str">
        <f>IFERROR(VLOOKUP($D80,Original!$D:$AE,16,0),"")</f>
        <v/>
      </c>
      <c r="S80" s="64" t="str">
        <f>IFERROR(VLOOKUP($D80,Original!$D:$AE,17,0),"")</f>
        <v/>
      </c>
      <c r="T80" s="64" t="str">
        <f>IFERROR(VLOOKUP($D80,Original!$D:$AE,18,0),"")</f>
        <v/>
      </c>
      <c r="U80" s="64" t="str">
        <f>IFERROR(VLOOKUP($D80,Original!$D:$AE,19,0),"")</f>
        <v/>
      </c>
      <c r="V80" s="64" t="str">
        <f>IFERROR(VLOOKUP($D80,Original!$D:$AE,20,0),"")</f>
        <v/>
      </c>
      <c r="W80" s="64" t="str">
        <f>IFERROR(VLOOKUP($D80,Original!$D:$AE,21,0),"")</f>
        <v/>
      </c>
      <c r="X80" s="64" t="str">
        <f>IFERROR(VLOOKUP($D80,Original!$D:$AE,22,0),"")</f>
        <v/>
      </c>
      <c r="Y80" s="65" t="str">
        <f>IFERROR(VLOOKUP($D80,Original!$D:$AE,23,0),"")</f>
        <v/>
      </c>
      <c r="Z80" s="8" t="str">
        <f>IFERROR(VLOOKUP($D80,Original!$D:$AE,124,0),"")</f>
        <v/>
      </c>
      <c r="AA80" s="8" t="str">
        <f>IFERROR(VLOOKUP($D80,Original!$D:$AE,25,0),"")</f>
        <v/>
      </c>
      <c r="AB80" s="23"/>
      <c r="AC80" s="8"/>
      <c r="AD80" s="8"/>
      <c r="AE80" s="8" t="str">
        <f t="shared" si="25"/>
        <v>TRUE</v>
      </c>
      <c r="AF80" s="1"/>
    </row>
    <row r="81" spans="1:32" x14ac:dyDescent="0.25">
      <c r="A81" s="1"/>
      <c r="B81" s="5">
        <v>3</v>
      </c>
      <c r="C81" s="5" t="str">
        <f t="shared" ref="C81" si="27">$F$52&amp;E81</f>
        <v>C        FS09</v>
      </c>
      <c r="D81" s="5" t="str">
        <f t="shared" si="26"/>
        <v>C        FS09 3</v>
      </c>
      <c r="E81" s="5" t="str">
        <f>F78</f>
        <v xml:space="preserve">        FS09</v>
      </c>
      <c r="F81" s="5" t="str">
        <f>IFERROR(VLOOKUP($D81,Original!$D:$AE,4,0),"")</f>
        <v/>
      </c>
      <c r="G81" s="5" t="str">
        <f>IFERROR(VLOOKUP($D81,Original!$D:$AE,5,0),"")</f>
        <v/>
      </c>
      <c r="H81" s="5" t="str">
        <f>IFERROR(VLOOKUP($D81,Original!$D:$AE,6,0),"")</f>
        <v/>
      </c>
      <c r="I81" s="6" t="str">
        <f>IFERROR(VLOOKUP($D81,Original!$D:$AE,7,0),"")</f>
        <v/>
      </c>
      <c r="J81" s="7" t="str">
        <f>IFERROR(VLOOKUP($D81,Original!$D:$AE,8,0),"")</f>
        <v/>
      </c>
      <c r="K81" s="7" t="str">
        <f>IFERROR(VLOOKUP($D81,Original!$D:$AE,9,0),"")</f>
        <v/>
      </c>
      <c r="L81" s="8" t="str">
        <f>IFERROR(VLOOKUP($D81,Original!$D:$AE,10,0),"")</f>
        <v/>
      </c>
      <c r="M81" s="8" t="str">
        <f>IFERROR(VLOOKUP($D81,Original!$D:$AE,11,0),"")</f>
        <v/>
      </c>
      <c r="N81" s="64" t="str">
        <f>IFERROR(VLOOKUP($D81,Original!$D:$AE,12,0),"")</f>
        <v/>
      </c>
      <c r="O81" s="64" t="str">
        <f>IFERROR(VLOOKUP($D81,Original!$D:$AE,13,0),"")</f>
        <v/>
      </c>
      <c r="P81" s="64" t="str">
        <f>IFERROR(VLOOKUP($D81,Original!$D:$AE,14,0),"")</f>
        <v/>
      </c>
      <c r="Q81" s="64" t="str">
        <f>IFERROR(VLOOKUP($D81,Original!$D:$AE,15,0),"")</f>
        <v/>
      </c>
      <c r="R81" s="64" t="str">
        <f>IFERROR(VLOOKUP($D81,Original!$D:$AE,16,0),"")</f>
        <v/>
      </c>
      <c r="S81" s="64" t="str">
        <f>IFERROR(VLOOKUP($D81,Original!$D:$AE,17,0),"")</f>
        <v/>
      </c>
      <c r="T81" s="64" t="str">
        <f>IFERROR(VLOOKUP($D81,Original!$D:$AE,18,0),"")</f>
        <v/>
      </c>
      <c r="U81" s="64" t="str">
        <f>IFERROR(VLOOKUP($D81,Original!$D:$AE,19,0),"")</f>
        <v/>
      </c>
      <c r="V81" s="64" t="str">
        <f>IFERROR(VLOOKUP($D81,Original!$D:$AE,20,0),"")</f>
        <v/>
      </c>
      <c r="W81" s="64" t="str">
        <f>IFERROR(VLOOKUP($D81,Original!$D:$AE,21,0),"")</f>
        <v/>
      </c>
      <c r="X81" s="64" t="str">
        <f>IFERROR(VLOOKUP($D81,Original!$D:$AE,22,0),"")</f>
        <v/>
      </c>
      <c r="Y81" s="65" t="str">
        <f>IFERROR(VLOOKUP($D81,Original!$D:$AE,23,0),"")</f>
        <v/>
      </c>
      <c r="Z81" s="8" t="str">
        <f>IFERROR(VLOOKUP($D81,Original!$D:$AE,124,0),"")</f>
        <v/>
      </c>
      <c r="AA81" s="8" t="str">
        <f>IFERROR(VLOOKUP($D81,Original!$D:$AE,25,0),"")</f>
        <v/>
      </c>
      <c r="AB81" s="23"/>
      <c r="AC81" s="8"/>
      <c r="AD81" s="8"/>
      <c r="AE81" s="8" t="str">
        <f t="shared" si="25"/>
        <v>TRUE</v>
      </c>
      <c r="AF81" s="1"/>
    </row>
    <row r="82" spans="1:32" x14ac:dyDescent="0.25">
      <c r="A82" s="1"/>
      <c r="B82" s="12"/>
      <c r="C82" s="12"/>
      <c r="D82" s="12"/>
      <c r="E82" s="12"/>
      <c r="F82" s="62" t="str">
        <f>IF(F79="","",0)</f>
        <v/>
      </c>
      <c r="G82" s="13"/>
      <c r="H82" s="34" t="str">
        <f>$F$52</f>
        <v>C</v>
      </c>
      <c r="I82" s="34" t="str">
        <f>$F$52&amp;J82</f>
        <v>C        FS09</v>
      </c>
      <c r="J82" s="67" t="str">
        <f>F78</f>
        <v xml:space="preserve">        FS09</v>
      </c>
      <c r="K82" s="67"/>
      <c r="L82" s="67" t="s">
        <v>19</v>
      </c>
      <c r="M82" s="67"/>
      <c r="N82" s="42">
        <f>SUMIF($C:$C,$I82,N:N)</f>
        <v>0</v>
      </c>
      <c r="O82" s="42">
        <f>SUMIF($C:$C,$I82,O:O)</f>
        <v>0</v>
      </c>
      <c r="P82" s="42">
        <f>SUMIF($C:$C,$I82,P:P)</f>
        <v>0</v>
      </c>
      <c r="Q82" s="42">
        <f>SUMIF($C:$C,$I82,Q:Q)</f>
        <v>0</v>
      </c>
      <c r="R82" s="42">
        <f>SUMIF($C:$C,$I82,R:R)</f>
        <v>0</v>
      </c>
      <c r="S82" s="42">
        <f>SUMIF($C:$C,$I82,S:S)</f>
        <v>0</v>
      </c>
      <c r="T82" s="42">
        <f>SUMIF($C:$C,$I82,T:T)</f>
        <v>0</v>
      </c>
      <c r="U82" s="42"/>
      <c r="V82" s="42">
        <f>SUMIF($C:$C,$I82,V:V)</f>
        <v>0</v>
      </c>
      <c r="W82" s="42">
        <f>SUMIF($C:$C,$I82,W:W)</f>
        <v>0</v>
      </c>
      <c r="X82" s="42">
        <f>SUMIF($C:$C,$I82,X:X)</f>
        <v>0</v>
      </c>
      <c r="Y82" s="26"/>
      <c r="Z82" s="26"/>
      <c r="AA82" s="27" t="e">
        <f>N82/O82*100</f>
        <v>#DIV/0!</v>
      </c>
      <c r="AB82" s="37"/>
      <c r="AC82" s="37"/>
      <c r="AD82" s="37"/>
      <c r="AE82" s="37" t="str">
        <f t="shared" si="25"/>
        <v>TRUE</v>
      </c>
      <c r="AF82" s="1"/>
    </row>
    <row r="83" spans="1:32" x14ac:dyDescent="0.25">
      <c r="A83" s="1"/>
      <c r="B83" s="14"/>
      <c r="C83" s="14"/>
      <c r="D83" s="14"/>
      <c r="E83" s="14" t="s">
        <v>22</v>
      </c>
      <c r="F83" s="18" t="s">
        <v>31</v>
      </c>
      <c r="G83" s="16" t="s">
        <v>32</v>
      </c>
      <c r="H83" s="54">
        <f>IF(H84="","DNR",0)</f>
        <v>0</v>
      </c>
      <c r="I83" s="53">
        <v>0</v>
      </c>
      <c r="J83" s="54">
        <v>0</v>
      </c>
      <c r="K83" s="54">
        <v>0</v>
      </c>
      <c r="L83" s="54">
        <v>0</v>
      </c>
      <c r="M83" s="54">
        <v>0</v>
      </c>
      <c r="N83" s="54">
        <f>IF(F84="","DNR",0)</f>
        <v>0</v>
      </c>
      <c r="O83" s="54">
        <v>0</v>
      </c>
      <c r="P83" s="54">
        <v>0</v>
      </c>
      <c r="Q83" s="54">
        <v>0</v>
      </c>
      <c r="R83" s="54">
        <v>0</v>
      </c>
      <c r="S83" s="54">
        <v>0</v>
      </c>
      <c r="T83" s="54">
        <v>0</v>
      </c>
      <c r="U83" s="54">
        <v>0</v>
      </c>
      <c r="V83" s="54">
        <v>0</v>
      </c>
      <c r="W83" s="54">
        <v>0</v>
      </c>
      <c r="X83" s="54">
        <v>0</v>
      </c>
      <c r="Y83" s="54">
        <v>0</v>
      </c>
      <c r="Z83" s="54">
        <v>0</v>
      </c>
      <c r="AA83" s="55">
        <v>0</v>
      </c>
      <c r="AB83" s="17"/>
      <c r="AC83" s="17"/>
      <c r="AD83" s="17"/>
      <c r="AE83" s="17" t="str">
        <f t="shared" si="25"/>
        <v>FALSE</v>
      </c>
      <c r="AF83" s="1"/>
    </row>
    <row r="84" spans="1:32" x14ac:dyDescent="0.25">
      <c r="A84" s="1"/>
      <c r="B84" s="5">
        <v>1</v>
      </c>
      <c r="C84" s="5" t="str">
        <f>$F$52&amp;E84</f>
        <v>C        FS10</v>
      </c>
      <c r="D84" s="5" t="str">
        <f>$F$52&amp;E84&amp;" "&amp;B84</f>
        <v>C        FS10 1</v>
      </c>
      <c r="E84" s="5" t="str">
        <f>F83</f>
        <v xml:space="preserve">        FS10</v>
      </c>
      <c r="F84" s="5">
        <f>IFERROR(VLOOKUP($D84,Original!$D:$AE,4,0),"")</f>
        <v>63009647</v>
      </c>
      <c r="G84" s="5" t="str">
        <f>IFERROR(VLOOKUP($D84,Original!$D:$AE,5,0),"")</f>
        <v>KAH 40 12/1L 16 US</v>
      </c>
      <c r="H84" s="5">
        <f>IFERROR(VLOOKUP($D84,Original!$D:$AE,6,0),"")</f>
        <v>409039</v>
      </c>
      <c r="I84" s="6">
        <f>IFERROR(VLOOKUP($D84,Original!$D:$AE,7,0),"")</f>
        <v>44901</v>
      </c>
      <c r="J84" s="7">
        <f>IFERROR(VLOOKUP($D84,Original!$D:$AE,8,0),"")</f>
        <v>0.64583333333333337</v>
      </c>
      <c r="K84" s="7">
        <f>IFERROR(VLOOKUP($D84,Original!$D:$AE,9,0),"")</f>
        <v>0.99930555555555556</v>
      </c>
      <c r="L84" s="8">
        <f>IFERROR(VLOOKUP($D84,Original!$D:$AE,10,0),"")</f>
        <v>21</v>
      </c>
      <c r="M84" s="8">
        <f>IFERROR(VLOOKUP($D84,Original!$D:$AE,11,0),"")</f>
        <v>7</v>
      </c>
      <c r="N84" s="64">
        <f>IFERROR(VLOOKUP($D84,Original!$D:$AE,12,0),"")</f>
        <v>5912</v>
      </c>
      <c r="O84" s="64">
        <f>IFERROR(VLOOKUP($D84,Original!$D:$AE,13,0),"")</f>
        <v>9875</v>
      </c>
      <c r="P84" s="64">
        <f>IFERROR(VLOOKUP($D84,Original!$D:$AE,14,0),"")</f>
        <v>509</v>
      </c>
      <c r="Q84" s="64">
        <f>IFERROR(VLOOKUP($D84,Original!$D:$AE,15,0),"")</f>
        <v>35</v>
      </c>
      <c r="R84" s="64">
        <f>IFERROR(VLOOKUP($D84,Original!$D:$AE,16,0),"")</f>
        <v>0</v>
      </c>
      <c r="S84" s="64">
        <f>IFERROR(VLOOKUP($D84,Original!$D:$AE,17,0),"")</f>
        <v>0</v>
      </c>
      <c r="T84" s="64">
        <f>IFERROR(VLOOKUP($D84,Original!$D:$AE,18,0),"")</f>
        <v>0</v>
      </c>
      <c r="U84" s="64">
        <f>IFERROR(VLOOKUP($D84,Original!$D:$AE,19,0),"")</f>
        <v>0</v>
      </c>
      <c r="V84" s="64">
        <f>IFERROR(VLOOKUP($D84,Original!$D:$AE,20,0),"")</f>
        <v>0</v>
      </c>
      <c r="W84" s="64">
        <f>IFERROR(VLOOKUP($D84,Original!$D:$AE,21,0),"")</f>
        <v>14</v>
      </c>
      <c r="X84" s="64">
        <f>IFERROR(VLOOKUP($D84,Original!$D:$AE,22,0),"")</f>
        <v>474</v>
      </c>
      <c r="Y84" s="65">
        <f>IFERROR(VLOOKUP($D84,Original!$D:$AE,23,0),"")</f>
        <v>250</v>
      </c>
      <c r="Z84" s="8" t="str">
        <f>IFERROR(VLOOKUP($D84,Original!$D:$AE,124,0),"")</f>
        <v/>
      </c>
      <c r="AA84" s="8">
        <f>IFERROR(VLOOKUP($D84,Original!$D:$AE,25,0),"")</f>
        <v>59.87</v>
      </c>
      <c r="AB84" s="23"/>
      <c r="AC84" s="8"/>
      <c r="AD84" s="8"/>
      <c r="AE84" s="8" t="str">
        <f t="shared" si="25"/>
        <v>FALSE</v>
      </c>
      <c r="AF84" s="1"/>
    </row>
    <row r="85" spans="1:32" x14ac:dyDescent="0.25">
      <c r="A85" s="1"/>
      <c r="B85" s="5">
        <v>2</v>
      </c>
      <c r="C85" s="5" t="str">
        <f>$F$52&amp;E85</f>
        <v>C        FS10</v>
      </c>
      <c r="D85" s="5" t="str">
        <f t="shared" ref="D85:D88" si="28">$F$52&amp;E85&amp;" "&amp;B85</f>
        <v>C        FS10 2</v>
      </c>
      <c r="E85" s="5" t="str">
        <f>F83</f>
        <v xml:space="preserve">        FS10</v>
      </c>
      <c r="F85" s="5">
        <f>IFERROR(VLOOKUP($D85,Original!$D:$AE,4,0),"")</f>
        <v>96308001</v>
      </c>
      <c r="G85" s="5" t="str">
        <f>IFERROR(VLOOKUP($D85,Original!$D:$AE,5,0),"")</f>
        <v>SB PBW MF 12/750 MF CP</v>
      </c>
      <c r="H85" s="5">
        <f>IFERROR(VLOOKUP($D85,Original!$D:$AE,6,0),"")</f>
        <v>409595</v>
      </c>
      <c r="I85" s="6">
        <f>IFERROR(VLOOKUP($D85,Original!$D:$AE,7,0),"")</f>
        <v>44901</v>
      </c>
      <c r="J85" s="7">
        <f>IFERROR(VLOOKUP($D85,Original!$D:$AE,8,0),"")</f>
        <v>0.99930555555555556</v>
      </c>
      <c r="K85" s="7">
        <f>IFERROR(VLOOKUP($D85,Original!$D:$AE,9,0),"")</f>
        <v>8.3333333333333329E-2</v>
      </c>
      <c r="L85" s="8">
        <f>IFERROR(VLOOKUP($D85,Original!$D:$AE,10,0),"")</f>
        <v>0</v>
      </c>
      <c r="M85" s="8">
        <f>IFERROR(VLOOKUP($D85,Original!$D:$AE,11,0),"")</f>
        <v>13</v>
      </c>
      <c r="N85" s="64">
        <f>IFERROR(VLOOKUP($D85,Original!$D:$AE,12,0),"")</f>
        <v>0</v>
      </c>
      <c r="O85" s="64">
        <f>IFERROR(VLOOKUP($D85,Original!$D:$AE,13,0),"")</f>
        <v>0</v>
      </c>
      <c r="P85" s="64">
        <f>IFERROR(VLOOKUP($D85,Original!$D:$AE,14,0),"")</f>
        <v>121</v>
      </c>
      <c r="Q85" s="64">
        <f>IFERROR(VLOOKUP($D85,Original!$D:$AE,15,0),"")</f>
        <v>0</v>
      </c>
      <c r="R85" s="64">
        <f>IFERROR(VLOOKUP($D85,Original!$D:$AE,16,0),"")</f>
        <v>0</v>
      </c>
      <c r="S85" s="64">
        <f>IFERROR(VLOOKUP($D85,Original!$D:$AE,17,0),"")</f>
        <v>121</v>
      </c>
      <c r="T85" s="64">
        <f>IFERROR(VLOOKUP($D85,Original!$D:$AE,18,0),"")</f>
        <v>0</v>
      </c>
      <c r="U85" s="64">
        <f>IFERROR(VLOOKUP($D85,Original!$D:$AE,19,0),"")</f>
        <v>0</v>
      </c>
      <c r="V85" s="64">
        <f>IFERROR(VLOOKUP($D85,Original!$D:$AE,20,0),"")</f>
        <v>20.170000000000002</v>
      </c>
      <c r="W85" s="64">
        <f>IFERROR(VLOOKUP($D85,Original!$D:$AE,21,0),"")</f>
        <v>14</v>
      </c>
      <c r="X85" s="64">
        <f>IFERROR(VLOOKUP($D85,Original!$D:$AE,22,0),"")</f>
        <v>0</v>
      </c>
      <c r="Y85" s="65">
        <f>IFERROR(VLOOKUP($D85,Original!$D:$AE,23,0),"")</f>
        <v>280</v>
      </c>
      <c r="Z85" s="8" t="str">
        <f>IFERROR(VLOOKUP($D85,Original!$D:$AE,124,0),"")</f>
        <v/>
      </c>
      <c r="AA85" s="8">
        <f>IFERROR(VLOOKUP($D85,Original!$D:$AE,25,0),"")</f>
        <v>0</v>
      </c>
      <c r="AB85" s="23"/>
      <c r="AC85" s="8"/>
      <c r="AD85" s="8"/>
      <c r="AE85" s="8" t="str">
        <f t="shared" si="25"/>
        <v>FALSE</v>
      </c>
      <c r="AF85" s="1"/>
    </row>
    <row r="86" spans="1:32" x14ac:dyDescent="0.25">
      <c r="A86" s="1"/>
      <c r="B86" s="5">
        <v>3</v>
      </c>
      <c r="C86" s="5" t="str">
        <f>$F$52&amp;E86</f>
        <v>C        FS10</v>
      </c>
      <c r="D86" s="5" t="str">
        <f t="shared" si="28"/>
        <v>C        FS10 3</v>
      </c>
      <c r="E86" s="5" t="str">
        <f>F83</f>
        <v xml:space="preserve">        FS10</v>
      </c>
      <c r="F86" s="5" t="str">
        <f>IFERROR(VLOOKUP($D86,Original!$D:$AE,4,0),"")</f>
        <v/>
      </c>
      <c r="G86" s="5" t="str">
        <f>IFERROR(VLOOKUP($D86,Original!$D:$AE,5,0),"")</f>
        <v/>
      </c>
      <c r="H86" s="5" t="str">
        <f>IFERROR(VLOOKUP($D86,Original!$D:$AE,6,0),"")</f>
        <v/>
      </c>
      <c r="I86" s="6" t="str">
        <f>IFERROR(VLOOKUP($D86,Original!$D:$AE,7,0),"")</f>
        <v/>
      </c>
      <c r="J86" s="7" t="str">
        <f>IFERROR(VLOOKUP($D86,Original!$D:$AE,8,0),"")</f>
        <v/>
      </c>
      <c r="K86" s="7" t="str">
        <f>IFERROR(VLOOKUP($D86,Original!$D:$AE,9,0),"")</f>
        <v/>
      </c>
      <c r="L86" s="8" t="str">
        <f>IFERROR(VLOOKUP($D86,Original!$D:$AE,10,0),"")</f>
        <v/>
      </c>
      <c r="M86" s="8" t="str">
        <f>IFERROR(VLOOKUP($D86,Original!$D:$AE,11,0),"")</f>
        <v/>
      </c>
      <c r="N86" s="64" t="str">
        <f>IFERROR(VLOOKUP($D86,Original!$D:$AE,12,0),"")</f>
        <v/>
      </c>
      <c r="O86" s="64" t="str">
        <f>IFERROR(VLOOKUP($D86,Original!$D:$AE,13,0),"")</f>
        <v/>
      </c>
      <c r="P86" s="64" t="str">
        <f>IFERROR(VLOOKUP($D86,Original!$D:$AE,14,0),"")</f>
        <v/>
      </c>
      <c r="Q86" s="64" t="str">
        <f>IFERROR(VLOOKUP($D86,Original!$D:$AE,15,0),"")</f>
        <v/>
      </c>
      <c r="R86" s="64" t="str">
        <f>IFERROR(VLOOKUP($D86,Original!$D:$AE,16,0),"")</f>
        <v/>
      </c>
      <c r="S86" s="64" t="str">
        <f>IFERROR(VLOOKUP($D86,Original!$D:$AE,17,0),"")</f>
        <v/>
      </c>
      <c r="T86" s="64" t="str">
        <f>IFERROR(VLOOKUP($D86,Original!$D:$AE,18,0),"")</f>
        <v/>
      </c>
      <c r="U86" s="64" t="str">
        <f>IFERROR(VLOOKUP($D86,Original!$D:$AE,19,0),"")</f>
        <v/>
      </c>
      <c r="V86" s="64" t="str">
        <f>IFERROR(VLOOKUP($D86,Original!$D:$AE,20,0),"")</f>
        <v/>
      </c>
      <c r="W86" s="64" t="str">
        <f>IFERROR(VLOOKUP($D86,Original!$D:$AE,21,0),"")</f>
        <v/>
      </c>
      <c r="X86" s="64" t="str">
        <f>IFERROR(VLOOKUP($D86,Original!$D:$AE,22,0),"")</f>
        <v/>
      </c>
      <c r="Y86" s="65" t="str">
        <f>IFERROR(VLOOKUP($D86,Original!$D:$AE,23,0),"")</f>
        <v/>
      </c>
      <c r="Z86" s="8" t="str">
        <f>IFERROR(VLOOKUP($D86,Original!$D:$AE,124,0),"")</f>
        <v/>
      </c>
      <c r="AA86" s="8" t="str">
        <f>IFERROR(VLOOKUP($D86,Original!$D:$AE,25,0),"")</f>
        <v/>
      </c>
      <c r="AB86" s="23"/>
      <c r="AC86" s="8"/>
      <c r="AD86" s="8"/>
      <c r="AE86" s="8" t="str">
        <f t="shared" si="25"/>
        <v>TRUE</v>
      </c>
      <c r="AF86" s="1"/>
    </row>
    <row r="87" spans="1:32" x14ac:dyDescent="0.25">
      <c r="A87" s="1"/>
      <c r="B87" s="5">
        <v>4</v>
      </c>
      <c r="C87" s="5" t="str">
        <f>$F$52&amp;E87</f>
        <v>C        FS10</v>
      </c>
      <c r="D87" s="5" t="str">
        <f t="shared" si="28"/>
        <v>C        FS10 4</v>
      </c>
      <c r="E87" s="5" t="str">
        <f>F83</f>
        <v xml:space="preserve">        FS10</v>
      </c>
      <c r="F87" s="5" t="str">
        <f>IFERROR(VLOOKUP($D87,Original!$D:$AE,4,0),"")</f>
        <v/>
      </c>
      <c r="G87" s="5" t="str">
        <f>IFERROR(VLOOKUP($D87,Original!$D:$AE,5,0),"")</f>
        <v/>
      </c>
      <c r="H87" s="5" t="str">
        <f>IFERROR(VLOOKUP($D87,Original!$D:$AE,6,0),"")</f>
        <v/>
      </c>
      <c r="I87" s="6" t="str">
        <f>IFERROR(VLOOKUP($D87,Original!$D:$AE,7,0),"")</f>
        <v/>
      </c>
      <c r="J87" s="7" t="str">
        <f>IFERROR(VLOOKUP($D87,Original!$D:$AE,8,0),"")</f>
        <v/>
      </c>
      <c r="K87" s="7" t="str">
        <f>IFERROR(VLOOKUP($D87,Original!$D:$AE,9,0),"")</f>
        <v/>
      </c>
      <c r="L87" s="8" t="str">
        <f>IFERROR(VLOOKUP($D87,Original!$D:$AE,10,0),"")</f>
        <v/>
      </c>
      <c r="M87" s="8" t="str">
        <f>IFERROR(VLOOKUP($D87,Original!$D:$AE,11,0),"")</f>
        <v/>
      </c>
      <c r="N87" s="64" t="str">
        <f>IFERROR(VLOOKUP($D87,Original!$D:$AE,12,0),"")</f>
        <v/>
      </c>
      <c r="O87" s="64" t="str">
        <f>IFERROR(VLOOKUP($D87,Original!$D:$AE,13,0),"")</f>
        <v/>
      </c>
      <c r="P87" s="64" t="str">
        <f>IFERROR(VLOOKUP($D87,Original!$D:$AE,14,0),"")</f>
        <v/>
      </c>
      <c r="Q87" s="64" t="str">
        <f>IFERROR(VLOOKUP($D87,Original!$D:$AE,15,0),"")</f>
        <v/>
      </c>
      <c r="R87" s="64" t="str">
        <f>IFERROR(VLOOKUP($D87,Original!$D:$AE,16,0),"")</f>
        <v/>
      </c>
      <c r="S87" s="64" t="str">
        <f>IFERROR(VLOOKUP($D87,Original!$D:$AE,17,0),"")</f>
        <v/>
      </c>
      <c r="T87" s="64" t="str">
        <f>IFERROR(VLOOKUP($D87,Original!$D:$AE,18,0),"")</f>
        <v/>
      </c>
      <c r="U87" s="64" t="str">
        <f>IFERROR(VLOOKUP($D87,Original!$D:$AE,19,0),"")</f>
        <v/>
      </c>
      <c r="V87" s="64" t="str">
        <f>IFERROR(VLOOKUP($D87,Original!$D:$AE,20,0),"")</f>
        <v/>
      </c>
      <c r="W87" s="64" t="str">
        <f>IFERROR(VLOOKUP($D87,Original!$D:$AE,21,0),"")</f>
        <v/>
      </c>
      <c r="X87" s="64" t="str">
        <f>IFERROR(VLOOKUP($D87,Original!$D:$AE,22,0),"")</f>
        <v/>
      </c>
      <c r="Y87" s="65" t="str">
        <f>IFERROR(VLOOKUP($D87,Original!$D:$AE,23,0),"")</f>
        <v/>
      </c>
      <c r="Z87" s="8" t="str">
        <f>IFERROR(VLOOKUP($D87,Original!$D:$AE,124,0),"")</f>
        <v/>
      </c>
      <c r="AA87" s="8" t="str">
        <f>IFERROR(VLOOKUP($D87,Original!$D:$AE,25,0),"")</f>
        <v/>
      </c>
      <c r="AB87" s="23"/>
      <c r="AC87" s="8"/>
      <c r="AD87" s="8"/>
      <c r="AE87" s="8" t="str">
        <f t="shared" si="25"/>
        <v>TRUE</v>
      </c>
      <c r="AF87" s="1"/>
    </row>
    <row r="88" spans="1:32" x14ac:dyDescent="0.25">
      <c r="A88" s="1"/>
      <c r="B88" s="5">
        <v>5</v>
      </c>
      <c r="C88" s="5" t="str">
        <f>$F$52&amp;E88</f>
        <v>C        FS10</v>
      </c>
      <c r="D88" s="5" t="str">
        <f t="shared" si="28"/>
        <v>C        FS10 5</v>
      </c>
      <c r="E88" s="5" t="str">
        <f>F83</f>
        <v xml:space="preserve">        FS10</v>
      </c>
      <c r="F88" s="5" t="str">
        <f>IFERROR(VLOOKUP($D88,Original!$D:$AE,4,0),"")</f>
        <v/>
      </c>
      <c r="G88" s="5" t="str">
        <f>IFERROR(VLOOKUP($D88,Original!$D:$AE,5,0),"")</f>
        <v/>
      </c>
      <c r="H88" s="5" t="str">
        <f>IFERROR(VLOOKUP($D88,Original!$D:$AE,6,0),"")</f>
        <v/>
      </c>
      <c r="I88" s="6" t="str">
        <f>IFERROR(VLOOKUP($D88,Original!$D:$AE,7,0),"")</f>
        <v/>
      </c>
      <c r="J88" s="7" t="str">
        <f>IFERROR(VLOOKUP($D88,Original!$D:$AE,8,0),"")</f>
        <v/>
      </c>
      <c r="K88" s="7" t="str">
        <f>IFERROR(VLOOKUP($D88,Original!$D:$AE,9,0),"")</f>
        <v/>
      </c>
      <c r="L88" s="8" t="str">
        <f>IFERROR(VLOOKUP($D88,Original!$D:$AE,10,0),"")</f>
        <v/>
      </c>
      <c r="M88" s="8" t="str">
        <f>IFERROR(VLOOKUP($D88,Original!$D:$AE,11,0),"")</f>
        <v/>
      </c>
      <c r="N88" s="64" t="str">
        <f>IFERROR(VLOOKUP($D88,Original!$D:$AE,12,0),"")</f>
        <v/>
      </c>
      <c r="O88" s="64" t="str">
        <f>IFERROR(VLOOKUP($D88,Original!$D:$AE,13,0),"")</f>
        <v/>
      </c>
      <c r="P88" s="64" t="str">
        <f>IFERROR(VLOOKUP($D88,Original!$D:$AE,14,0),"")</f>
        <v/>
      </c>
      <c r="Q88" s="64" t="str">
        <f>IFERROR(VLOOKUP($D88,Original!$D:$AE,15,0),"")</f>
        <v/>
      </c>
      <c r="R88" s="64" t="str">
        <f>IFERROR(VLOOKUP($D88,Original!$D:$AE,16,0),"")</f>
        <v/>
      </c>
      <c r="S88" s="64" t="str">
        <f>IFERROR(VLOOKUP($D88,Original!$D:$AE,17,0),"")</f>
        <v/>
      </c>
      <c r="T88" s="64" t="str">
        <f>IFERROR(VLOOKUP($D88,Original!$D:$AE,18,0),"")</f>
        <v/>
      </c>
      <c r="U88" s="64" t="str">
        <f>IFERROR(VLOOKUP($D88,Original!$D:$AE,19,0),"")</f>
        <v/>
      </c>
      <c r="V88" s="64" t="str">
        <f>IFERROR(VLOOKUP($D88,Original!$D:$AE,20,0),"")</f>
        <v/>
      </c>
      <c r="W88" s="64" t="str">
        <f>IFERROR(VLOOKUP($D88,Original!$D:$AE,21,0),"")</f>
        <v/>
      </c>
      <c r="X88" s="64" t="str">
        <f>IFERROR(VLOOKUP($D88,Original!$D:$AE,22,0),"")</f>
        <v/>
      </c>
      <c r="Y88" s="65" t="str">
        <f>IFERROR(VLOOKUP($D88,Original!$D:$AE,23,0),"")</f>
        <v/>
      </c>
      <c r="Z88" s="8" t="str">
        <f>IFERROR(VLOOKUP($D88,Original!$D:$AE,124,0),"")</f>
        <v/>
      </c>
      <c r="AA88" s="8" t="str">
        <f>IFERROR(VLOOKUP($D88,Original!$D:$AE,25,0),"")</f>
        <v/>
      </c>
      <c r="AB88" s="23"/>
      <c r="AC88" s="8"/>
      <c r="AD88" s="8"/>
      <c r="AE88" s="8" t="str">
        <f t="shared" si="25"/>
        <v>TRUE</v>
      </c>
      <c r="AF88" s="1"/>
    </row>
    <row r="89" spans="1:32" x14ac:dyDescent="0.25">
      <c r="A89" s="1"/>
      <c r="B89" s="12"/>
      <c r="C89" s="12"/>
      <c r="D89" s="12"/>
      <c r="E89" s="12"/>
      <c r="F89" s="62">
        <f>IF(F84="","",0)</f>
        <v>0</v>
      </c>
      <c r="G89" s="13"/>
      <c r="H89" s="34" t="str">
        <f>$F$52</f>
        <v>C</v>
      </c>
      <c r="I89" s="34" t="str">
        <f>$F$52&amp;J89</f>
        <v>C        FS10</v>
      </c>
      <c r="J89" s="67" t="str">
        <f>F83</f>
        <v xml:space="preserve">        FS10</v>
      </c>
      <c r="K89" s="67"/>
      <c r="L89" s="67" t="s">
        <v>19</v>
      </c>
      <c r="M89" s="67"/>
      <c r="N89" s="42">
        <f>SUMIF($C:$C,$I89,N:N)</f>
        <v>5912</v>
      </c>
      <c r="O89" s="42">
        <f>SUMIF($C:$C,$I89,O:O)</f>
        <v>9875</v>
      </c>
      <c r="P89" s="42">
        <f>SUMIF($C:$C,$I89,P:P)</f>
        <v>630</v>
      </c>
      <c r="Q89" s="42">
        <f>SUMIF($C:$C,$I89,Q:Q)</f>
        <v>35</v>
      </c>
      <c r="R89" s="42">
        <f>SUMIF($C:$C,$I89,R:R)</f>
        <v>0</v>
      </c>
      <c r="S89" s="42">
        <f>SUMIF($C:$C,$I89,S:S)</f>
        <v>121</v>
      </c>
      <c r="T89" s="42">
        <f>SUMIF($C:$C,$I89,T:T)</f>
        <v>0</v>
      </c>
      <c r="U89" s="42"/>
      <c r="V89" s="42">
        <f>SUMIF($C:$C,$I89,V:V)</f>
        <v>20.170000000000002</v>
      </c>
      <c r="W89" s="42">
        <f>SUMIF($C:$C,$I89,W:W)</f>
        <v>28</v>
      </c>
      <c r="X89" s="42">
        <f>SUMIF($C:$C,$I89,X:X)</f>
        <v>474</v>
      </c>
      <c r="Y89" s="26"/>
      <c r="Z89" s="26"/>
      <c r="AA89" s="27">
        <f>N89/O89*100</f>
        <v>59.868354430379746</v>
      </c>
      <c r="AB89" s="37"/>
      <c r="AC89" s="27"/>
      <c r="AD89" s="27"/>
      <c r="AE89" s="27" t="str">
        <f t="shared" si="25"/>
        <v>FALSE</v>
      </c>
      <c r="AF89" s="1"/>
    </row>
    <row r="90" spans="1:32" x14ac:dyDescent="0.25">
      <c r="A90" s="1"/>
      <c r="B90" s="14"/>
      <c r="C90" s="14"/>
      <c r="D90" s="14"/>
      <c r="E90" s="14" t="s">
        <v>22</v>
      </c>
      <c r="F90" s="18" t="s">
        <v>33</v>
      </c>
      <c r="G90" s="16" t="s">
        <v>34</v>
      </c>
      <c r="H90" s="54">
        <f>IF(H91="","DNR",0)</f>
        <v>0</v>
      </c>
      <c r="I90" s="53">
        <v>0</v>
      </c>
      <c r="J90" s="54">
        <v>0</v>
      </c>
      <c r="K90" s="54">
        <v>0</v>
      </c>
      <c r="L90" s="54">
        <v>0</v>
      </c>
      <c r="M90" s="54">
        <v>0</v>
      </c>
      <c r="N90" s="54">
        <f>IF(F91="","DNR",0)</f>
        <v>0</v>
      </c>
      <c r="O90" s="54">
        <v>0</v>
      </c>
      <c r="P90" s="54">
        <v>0</v>
      </c>
      <c r="Q90" s="54">
        <v>0</v>
      </c>
      <c r="R90" s="54">
        <v>0</v>
      </c>
      <c r="S90" s="54">
        <v>0</v>
      </c>
      <c r="T90" s="54">
        <v>0</v>
      </c>
      <c r="U90" s="54">
        <v>0</v>
      </c>
      <c r="V90" s="54">
        <v>0</v>
      </c>
      <c r="W90" s="54">
        <v>0</v>
      </c>
      <c r="X90" s="54">
        <v>0</v>
      </c>
      <c r="Y90" s="54">
        <v>0</v>
      </c>
      <c r="Z90" s="54">
        <v>0</v>
      </c>
      <c r="AA90" s="55">
        <v>0</v>
      </c>
      <c r="AB90" s="17"/>
      <c r="AC90" s="17"/>
      <c r="AD90" s="17"/>
      <c r="AE90" s="17" t="str">
        <f t="shared" si="25"/>
        <v>FALSE</v>
      </c>
      <c r="AF90" s="1"/>
    </row>
    <row r="91" spans="1:32" x14ac:dyDescent="0.25">
      <c r="A91" s="1"/>
      <c r="B91" s="5">
        <v>1</v>
      </c>
      <c r="C91" s="5" t="str">
        <f>$F$52&amp;E91</f>
        <v>C        FS12</v>
      </c>
      <c r="D91" s="5" t="str">
        <f>$F$52&amp;E91&amp;" "&amp;B91</f>
        <v>C        FS12 1</v>
      </c>
      <c r="E91" s="5" t="str">
        <f>F90</f>
        <v xml:space="preserve">        FS12</v>
      </c>
      <c r="F91" s="5">
        <f>IFERROR(VLOOKUP($D91,Original!$D:$AE,4,0),"")</f>
        <v>63012825</v>
      </c>
      <c r="G91" s="5" t="str">
        <f>IFERROR(VLOOKUP($D91,Original!$D:$AE,5,0),"")</f>
        <v>KAH 32 6/1.75L PT 20 CA</v>
      </c>
      <c r="H91" s="5">
        <f>IFERROR(VLOOKUP($D91,Original!$D:$AE,6,0),"")</f>
        <v>409093</v>
      </c>
      <c r="I91" s="6">
        <f>IFERROR(VLOOKUP($D91,Original!$D:$AE,7,0),"")</f>
        <v>44901</v>
      </c>
      <c r="J91" s="7">
        <f>IFERROR(VLOOKUP($D91,Original!$D:$AE,8,0),"")</f>
        <v>0.64583333333333337</v>
      </c>
      <c r="K91" s="7">
        <f>IFERROR(VLOOKUP($D91,Original!$D:$AE,9,0),"")</f>
        <v>8.3333333333333329E-2</v>
      </c>
      <c r="L91" s="8">
        <f>IFERROR(VLOOKUP($D91,Original!$D:$AE,10,0),"")</f>
        <v>7</v>
      </c>
      <c r="M91" s="8">
        <f>IFERROR(VLOOKUP($D91,Original!$D:$AE,11,0),"")</f>
        <v>5</v>
      </c>
      <c r="N91" s="64">
        <f>IFERROR(VLOOKUP($D91,Original!$D:$AE,12,0),"")</f>
        <v>2914</v>
      </c>
      <c r="O91" s="64">
        <f>IFERROR(VLOOKUP($D91,Original!$D:$AE,13,0),"")</f>
        <v>9625</v>
      </c>
      <c r="P91" s="64">
        <f>IFERROR(VLOOKUP($D91,Original!$D:$AE,14,0),"")</f>
        <v>630</v>
      </c>
      <c r="Q91" s="64">
        <f>IFERROR(VLOOKUP($D91,Original!$D:$AE,15,0),"")</f>
        <v>85</v>
      </c>
      <c r="R91" s="64">
        <f>IFERROR(VLOOKUP($D91,Original!$D:$AE,16,0),"")</f>
        <v>0</v>
      </c>
      <c r="S91" s="64">
        <f>IFERROR(VLOOKUP($D91,Original!$D:$AE,17,0),"")</f>
        <v>0</v>
      </c>
      <c r="T91" s="64">
        <f>IFERROR(VLOOKUP($D91,Original!$D:$AE,18,0),"")</f>
        <v>20</v>
      </c>
      <c r="U91" s="64">
        <f>IFERROR(VLOOKUP($D91,Original!$D:$AE,19,0),"")</f>
        <v>0</v>
      </c>
      <c r="V91" s="64">
        <f>IFERROR(VLOOKUP($D91,Original!$D:$AE,20,0),"")</f>
        <v>0</v>
      </c>
      <c r="W91" s="64">
        <f>IFERROR(VLOOKUP($D91,Original!$D:$AE,21,0),"")</f>
        <v>10</v>
      </c>
      <c r="X91" s="64">
        <f>IFERROR(VLOOKUP($D91,Original!$D:$AE,22,0),"")</f>
        <v>525</v>
      </c>
      <c r="Y91" s="65">
        <f>IFERROR(VLOOKUP($D91,Original!$D:$AE,23,0),"")</f>
        <v>110</v>
      </c>
      <c r="Z91" s="8" t="str">
        <f>IFERROR(VLOOKUP($D91,Original!$D:$AE,124,0),"")</f>
        <v/>
      </c>
      <c r="AA91" s="8">
        <f>IFERROR(VLOOKUP($D91,Original!$D:$AE,25,0),"")</f>
        <v>30.28</v>
      </c>
      <c r="AB91" s="23"/>
      <c r="AC91" s="8"/>
      <c r="AD91" s="8"/>
      <c r="AE91" s="8" t="str">
        <f t="shared" si="25"/>
        <v>FALSE</v>
      </c>
      <c r="AF91" s="1"/>
    </row>
    <row r="92" spans="1:32" x14ac:dyDescent="0.25">
      <c r="A92" s="1"/>
      <c r="B92" s="5">
        <v>2</v>
      </c>
      <c r="C92" s="5" t="str">
        <f>$F$52&amp;E92</f>
        <v>C        FS12</v>
      </c>
      <c r="D92" s="5" t="str">
        <f t="shared" ref="D92:D93" si="29">$F$52&amp;E92&amp;" "&amp;B92</f>
        <v>C        FS12 2</v>
      </c>
      <c r="E92" s="5" t="str">
        <f>F90</f>
        <v xml:space="preserve">        FS12</v>
      </c>
      <c r="F92" s="5" t="str">
        <f>IFERROR(VLOOKUP($D92,Original!$D:$AE,4,0),"")</f>
        <v/>
      </c>
      <c r="G92" s="5" t="str">
        <f>IFERROR(VLOOKUP($D92,Original!$D:$AE,5,0),"")</f>
        <v/>
      </c>
      <c r="H92" s="5" t="str">
        <f>IFERROR(VLOOKUP($D92,Original!$D:$AE,6,0),"")</f>
        <v/>
      </c>
      <c r="I92" s="6" t="str">
        <f>IFERROR(VLOOKUP($D92,Original!$D:$AE,7,0),"")</f>
        <v/>
      </c>
      <c r="J92" s="7" t="str">
        <f>IFERROR(VLOOKUP($D92,Original!$D:$AE,8,0),"")</f>
        <v/>
      </c>
      <c r="K92" s="7" t="str">
        <f>IFERROR(VLOOKUP($D92,Original!$D:$AE,9,0),"")</f>
        <v/>
      </c>
      <c r="L92" s="8" t="str">
        <f>IFERROR(VLOOKUP($D92,Original!$D:$AE,10,0),"")</f>
        <v/>
      </c>
      <c r="M92" s="8" t="str">
        <f>IFERROR(VLOOKUP($D92,Original!$D:$AE,11,0),"")</f>
        <v/>
      </c>
      <c r="N92" s="64" t="str">
        <f>IFERROR(VLOOKUP($D92,Original!$D:$AE,12,0),"")</f>
        <v/>
      </c>
      <c r="O92" s="64" t="str">
        <f>IFERROR(VLOOKUP($D92,Original!$D:$AE,13,0),"")</f>
        <v/>
      </c>
      <c r="P92" s="64" t="str">
        <f>IFERROR(VLOOKUP($D92,Original!$D:$AE,14,0),"")</f>
        <v/>
      </c>
      <c r="Q92" s="64" t="str">
        <f>IFERROR(VLOOKUP($D92,Original!$D:$AE,15,0),"")</f>
        <v/>
      </c>
      <c r="R92" s="64" t="str">
        <f>IFERROR(VLOOKUP($D92,Original!$D:$AE,16,0),"")</f>
        <v/>
      </c>
      <c r="S92" s="64" t="str">
        <f>IFERROR(VLOOKUP($D92,Original!$D:$AE,17,0),"")</f>
        <v/>
      </c>
      <c r="T92" s="64" t="str">
        <f>IFERROR(VLOOKUP($D92,Original!$D:$AE,18,0),"")</f>
        <v/>
      </c>
      <c r="U92" s="64" t="str">
        <f>IFERROR(VLOOKUP($D92,Original!$D:$AE,19,0),"")</f>
        <v/>
      </c>
      <c r="V92" s="64" t="str">
        <f>IFERROR(VLOOKUP($D92,Original!$D:$AE,20,0),"")</f>
        <v/>
      </c>
      <c r="W92" s="64" t="str">
        <f>IFERROR(VLOOKUP($D92,Original!$D:$AE,21,0),"")</f>
        <v/>
      </c>
      <c r="X92" s="64" t="str">
        <f>IFERROR(VLOOKUP($D92,Original!$D:$AE,22,0),"")</f>
        <v/>
      </c>
      <c r="Y92" s="65" t="str">
        <f>IFERROR(VLOOKUP($D92,Original!$D:$AE,23,0),"")</f>
        <v/>
      </c>
      <c r="Z92" s="8" t="str">
        <f>IFERROR(VLOOKUP($D92,Original!$D:$AE,124,0),"")</f>
        <v/>
      </c>
      <c r="AA92" s="8" t="str">
        <f>IFERROR(VLOOKUP($D92,Original!$D:$AE,25,0),"")</f>
        <v/>
      </c>
      <c r="AB92" s="23"/>
      <c r="AC92" s="8"/>
      <c r="AD92" s="8"/>
      <c r="AE92" s="8" t="str">
        <f t="shared" si="25"/>
        <v>TRUE</v>
      </c>
      <c r="AF92" s="1"/>
    </row>
    <row r="93" spans="1:32" x14ac:dyDescent="0.25">
      <c r="A93" s="1"/>
      <c r="B93" s="5">
        <v>3</v>
      </c>
      <c r="C93" s="5" t="str">
        <f>$F$52&amp;E93</f>
        <v>C        FS12</v>
      </c>
      <c r="D93" s="5" t="str">
        <f t="shared" si="29"/>
        <v>C        FS12 3</v>
      </c>
      <c r="E93" s="5" t="str">
        <f>F90</f>
        <v xml:space="preserve">        FS12</v>
      </c>
      <c r="F93" s="5" t="str">
        <f>IFERROR(VLOOKUP($D93,Original!$D:$AE,4,0),"")</f>
        <v/>
      </c>
      <c r="G93" s="5" t="str">
        <f>IFERROR(VLOOKUP($D93,Original!$D:$AE,5,0),"")</f>
        <v/>
      </c>
      <c r="H93" s="5" t="str">
        <f>IFERROR(VLOOKUP($D93,Original!$D:$AE,6,0),"")</f>
        <v/>
      </c>
      <c r="I93" s="6" t="str">
        <f>IFERROR(VLOOKUP($D93,Original!$D:$AE,7,0),"")</f>
        <v/>
      </c>
      <c r="J93" s="7" t="str">
        <f>IFERROR(VLOOKUP($D93,Original!$D:$AE,8,0),"")</f>
        <v/>
      </c>
      <c r="K93" s="7" t="str">
        <f>IFERROR(VLOOKUP($D93,Original!$D:$AE,9,0),"")</f>
        <v/>
      </c>
      <c r="L93" s="8" t="str">
        <f>IFERROR(VLOOKUP($D93,Original!$D:$AE,10,0),"")</f>
        <v/>
      </c>
      <c r="M93" s="8" t="str">
        <f>IFERROR(VLOOKUP($D93,Original!$D:$AE,11,0),"")</f>
        <v/>
      </c>
      <c r="N93" s="64" t="str">
        <f>IFERROR(VLOOKUP($D93,Original!$D:$AE,12,0),"")</f>
        <v/>
      </c>
      <c r="O93" s="64" t="str">
        <f>IFERROR(VLOOKUP($D93,Original!$D:$AE,13,0),"")</f>
        <v/>
      </c>
      <c r="P93" s="64" t="str">
        <f>IFERROR(VLOOKUP($D93,Original!$D:$AE,14,0),"")</f>
        <v/>
      </c>
      <c r="Q93" s="64" t="str">
        <f>IFERROR(VLOOKUP($D93,Original!$D:$AE,15,0),"")</f>
        <v/>
      </c>
      <c r="R93" s="64" t="str">
        <f>IFERROR(VLOOKUP($D93,Original!$D:$AE,16,0),"")</f>
        <v/>
      </c>
      <c r="S93" s="64" t="str">
        <f>IFERROR(VLOOKUP($D93,Original!$D:$AE,17,0),"")</f>
        <v/>
      </c>
      <c r="T93" s="64" t="str">
        <f>IFERROR(VLOOKUP($D93,Original!$D:$AE,18,0),"")</f>
        <v/>
      </c>
      <c r="U93" s="64" t="str">
        <f>IFERROR(VLOOKUP($D93,Original!$D:$AE,19,0),"")</f>
        <v/>
      </c>
      <c r="V93" s="64" t="str">
        <f>IFERROR(VLOOKUP($D93,Original!$D:$AE,20,0),"")</f>
        <v/>
      </c>
      <c r="W93" s="64" t="str">
        <f>IFERROR(VLOOKUP($D93,Original!$D:$AE,21,0),"")</f>
        <v/>
      </c>
      <c r="X93" s="64" t="str">
        <f>IFERROR(VLOOKUP($D93,Original!$D:$AE,22,0),"")</f>
        <v/>
      </c>
      <c r="Y93" s="65" t="str">
        <f>IFERROR(VLOOKUP($D93,Original!$D:$AE,23,0),"")</f>
        <v/>
      </c>
      <c r="Z93" s="8" t="str">
        <f>IFERROR(VLOOKUP($D93,Original!$D:$AE,124,0),"")</f>
        <v/>
      </c>
      <c r="AA93" s="8" t="str">
        <f>IFERROR(VLOOKUP($D93,Original!$D:$AE,25,0),"")</f>
        <v/>
      </c>
      <c r="AB93" s="23"/>
      <c r="AC93" s="8"/>
      <c r="AD93" s="8"/>
      <c r="AE93" s="8" t="str">
        <f t="shared" si="25"/>
        <v>TRUE</v>
      </c>
      <c r="AF93" s="1"/>
    </row>
    <row r="94" spans="1:32" x14ac:dyDescent="0.25">
      <c r="A94" s="1"/>
      <c r="B94" s="12"/>
      <c r="C94" s="12"/>
      <c r="D94" s="12"/>
      <c r="E94" s="12"/>
      <c r="F94" s="62">
        <f>IF(F91="","",0)</f>
        <v>0</v>
      </c>
      <c r="G94" s="13"/>
      <c r="H94" s="34" t="str">
        <f>$F$52</f>
        <v>C</v>
      </c>
      <c r="I94" s="34" t="str">
        <f>$F$52&amp;J94</f>
        <v>C        FS12</v>
      </c>
      <c r="J94" s="67" t="str">
        <f>F90</f>
        <v xml:space="preserve">        FS12</v>
      </c>
      <c r="K94" s="67"/>
      <c r="L94" s="67" t="s">
        <v>19</v>
      </c>
      <c r="M94" s="67"/>
      <c r="N94" s="42">
        <f>SUMIF($C:$C,$I94,N:N)</f>
        <v>2914</v>
      </c>
      <c r="O94" s="42">
        <f>SUMIF($C:$C,$I94,O:O)</f>
        <v>9625</v>
      </c>
      <c r="P94" s="42">
        <f>SUMIF($C:$C,$I94,P:P)</f>
        <v>630</v>
      </c>
      <c r="Q94" s="42">
        <f>SUMIF($C:$C,$I94,Q:Q)</f>
        <v>85</v>
      </c>
      <c r="R94" s="42">
        <f>SUMIF($C:$C,$I94,R:R)</f>
        <v>0</v>
      </c>
      <c r="S94" s="42">
        <f>SUMIF($C:$C,$I94,S:S)</f>
        <v>0</v>
      </c>
      <c r="T94" s="42">
        <f>SUMIF($C:$C,$I94,T:T)</f>
        <v>20</v>
      </c>
      <c r="U94" s="42"/>
      <c r="V94" s="42">
        <f>SUMIF($C:$C,$I94,V:V)</f>
        <v>0</v>
      </c>
      <c r="W94" s="42">
        <f>SUMIF($C:$C,$I94,W:W)</f>
        <v>10</v>
      </c>
      <c r="X94" s="42">
        <f>SUMIF($C:$C,$I94,X:X)</f>
        <v>525</v>
      </c>
      <c r="Y94" s="26"/>
      <c r="Z94" s="26"/>
      <c r="AA94" s="27">
        <f>N94/O94*100</f>
        <v>30.275324675324676</v>
      </c>
      <c r="AB94" s="37"/>
      <c r="AC94" s="27"/>
      <c r="AD94" s="27"/>
      <c r="AE94" s="27" t="str">
        <f t="shared" si="25"/>
        <v>FALSE</v>
      </c>
      <c r="AF94" s="1"/>
    </row>
    <row r="95" spans="1:32" x14ac:dyDescent="0.25">
      <c r="A95" s="1"/>
      <c r="B95" s="14"/>
      <c r="C95" s="14"/>
      <c r="D95" s="14"/>
      <c r="E95" s="14" t="s">
        <v>22</v>
      </c>
      <c r="F95" s="18" t="s">
        <v>114</v>
      </c>
      <c r="G95" s="16" t="s">
        <v>118</v>
      </c>
      <c r="H95" s="54" t="str">
        <f>IF(H96="","DNR",0)</f>
        <v>DNR</v>
      </c>
      <c r="I95" s="53">
        <v>0</v>
      </c>
      <c r="J95" s="54">
        <v>0</v>
      </c>
      <c r="K95" s="54">
        <v>0</v>
      </c>
      <c r="L95" s="54">
        <v>0</v>
      </c>
      <c r="M95" s="54">
        <v>0</v>
      </c>
      <c r="N95" s="54" t="str">
        <f>IF(F96="","DNR",0)</f>
        <v>DNR</v>
      </c>
      <c r="O95" s="54">
        <v>0</v>
      </c>
      <c r="P95" s="54">
        <v>0</v>
      </c>
      <c r="Q95" s="54">
        <v>0</v>
      </c>
      <c r="R95" s="54">
        <v>0</v>
      </c>
      <c r="S95" s="54">
        <v>0</v>
      </c>
      <c r="T95" s="54">
        <v>0</v>
      </c>
      <c r="U95" s="54">
        <v>0</v>
      </c>
      <c r="V95" s="54">
        <v>0</v>
      </c>
      <c r="W95" s="54">
        <v>0</v>
      </c>
      <c r="X95" s="54">
        <v>0</v>
      </c>
      <c r="Y95" s="54">
        <v>0</v>
      </c>
      <c r="Z95" s="54">
        <v>0</v>
      </c>
      <c r="AA95" s="55">
        <v>0</v>
      </c>
      <c r="AB95" s="17"/>
      <c r="AC95" s="17"/>
      <c r="AD95" s="17"/>
      <c r="AE95" s="17" t="str">
        <f t="shared" ref="AE95:AE99" si="30">IF(OR(F95="",H95="DNR"), "TRUE", "FALSE")</f>
        <v>TRUE</v>
      </c>
      <c r="AF95" s="1"/>
    </row>
    <row r="96" spans="1:32" x14ac:dyDescent="0.25">
      <c r="A96" s="1"/>
      <c r="B96" s="5">
        <v>1</v>
      </c>
      <c r="C96" s="5" t="str">
        <f>$F$52&amp;E96</f>
        <v>C        FS14</v>
      </c>
      <c r="D96" s="5" t="str">
        <f>$F$52&amp;E96&amp;" "&amp;B96</f>
        <v>C        FS14 1</v>
      </c>
      <c r="E96" s="5" t="str">
        <f>F95</f>
        <v xml:space="preserve">        FS14</v>
      </c>
      <c r="F96" s="5" t="str">
        <f>IFERROR(VLOOKUP($D96,Original!$D:$AE,4,0),"")</f>
        <v/>
      </c>
      <c r="G96" s="5" t="str">
        <f>IFERROR(VLOOKUP($D96,Original!$D:$AE,5,0),"")</f>
        <v/>
      </c>
      <c r="H96" s="5" t="str">
        <f>IFERROR(VLOOKUP($D96,Original!$D:$AE,6,0),"")</f>
        <v/>
      </c>
      <c r="I96" s="6" t="str">
        <f>IFERROR(VLOOKUP($D96,Original!$D:$AE,7,0),"")</f>
        <v/>
      </c>
      <c r="J96" s="7" t="str">
        <f>IFERROR(VLOOKUP($D96,Original!$D:$AE,8,0),"")</f>
        <v/>
      </c>
      <c r="K96" s="7" t="str">
        <f>IFERROR(VLOOKUP($D96,Original!$D:$AE,9,0),"")</f>
        <v/>
      </c>
      <c r="L96" s="8" t="str">
        <f>IFERROR(VLOOKUP($D96,Original!$D:$AE,10,0),"")</f>
        <v/>
      </c>
      <c r="M96" s="8" t="str">
        <f>IFERROR(VLOOKUP($D96,Original!$D:$AE,11,0),"")</f>
        <v/>
      </c>
      <c r="N96" s="64" t="str">
        <f>IFERROR(VLOOKUP($D96,Original!$D:$AE,12,0),"")</f>
        <v/>
      </c>
      <c r="O96" s="64" t="str">
        <f>IFERROR(VLOOKUP($D96,Original!$D:$AE,13,0),"")</f>
        <v/>
      </c>
      <c r="P96" s="64" t="str">
        <f>IFERROR(VLOOKUP($D96,Original!$D:$AE,14,0),"")</f>
        <v/>
      </c>
      <c r="Q96" s="64" t="str">
        <f>IFERROR(VLOOKUP($D96,Original!$D:$AE,15,0),"")</f>
        <v/>
      </c>
      <c r="R96" s="64" t="str">
        <f>IFERROR(VLOOKUP($D96,Original!$D:$AE,16,0),"")</f>
        <v/>
      </c>
      <c r="S96" s="64" t="str">
        <f>IFERROR(VLOOKUP($D96,Original!$D:$AE,17,0),"")</f>
        <v/>
      </c>
      <c r="T96" s="64" t="str">
        <f>IFERROR(VLOOKUP($D96,Original!$D:$AE,18,0),"")</f>
        <v/>
      </c>
      <c r="U96" s="64" t="str">
        <f>IFERROR(VLOOKUP($D96,Original!$D:$AE,19,0),"")</f>
        <v/>
      </c>
      <c r="V96" s="64" t="str">
        <f>IFERROR(VLOOKUP($D96,Original!$D:$AE,20,0),"")</f>
        <v/>
      </c>
      <c r="W96" s="64" t="str">
        <f>IFERROR(VLOOKUP($D96,Original!$D:$AE,21,0),"")</f>
        <v/>
      </c>
      <c r="X96" s="64" t="str">
        <f>IFERROR(VLOOKUP($D96,Original!$D:$AE,22,0),"")</f>
        <v/>
      </c>
      <c r="Y96" s="65" t="str">
        <f>IFERROR(VLOOKUP($D96,Original!$D:$AE,23,0),"")</f>
        <v/>
      </c>
      <c r="Z96" s="8" t="str">
        <f>IFERROR(VLOOKUP($D96,Original!$D:$AE,124,0),"")</f>
        <v/>
      </c>
      <c r="AA96" s="8" t="str">
        <f>IFERROR(VLOOKUP($D96,Original!$D:$AE,25,0),"")</f>
        <v/>
      </c>
      <c r="AB96" s="23"/>
      <c r="AC96" s="8"/>
      <c r="AD96" s="8"/>
      <c r="AE96" s="8" t="str">
        <f t="shared" si="30"/>
        <v>TRUE</v>
      </c>
      <c r="AF96" s="1"/>
    </row>
    <row r="97" spans="1:32" x14ac:dyDescent="0.25">
      <c r="A97" s="1"/>
      <c r="B97" s="5">
        <v>2</v>
      </c>
      <c r="C97" s="5" t="str">
        <f>$F$52&amp;E97</f>
        <v>C        FS14</v>
      </c>
      <c r="D97" s="5" t="str">
        <f t="shared" ref="D97:D98" si="31">$F$52&amp;E97&amp;" "&amp;B97</f>
        <v>C        FS14 2</v>
      </c>
      <c r="E97" s="5" t="str">
        <f>F95</f>
        <v xml:space="preserve">        FS14</v>
      </c>
      <c r="F97" s="5" t="str">
        <f>IFERROR(VLOOKUP($D97,Original!$D:$AE,4,0),"")</f>
        <v/>
      </c>
      <c r="G97" s="5" t="str">
        <f>IFERROR(VLOOKUP($D97,Original!$D:$AE,5,0),"")</f>
        <v/>
      </c>
      <c r="H97" s="5" t="str">
        <f>IFERROR(VLOOKUP($D97,Original!$D:$AE,6,0),"")</f>
        <v/>
      </c>
      <c r="I97" s="6" t="str">
        <f>IFERROR(VLOOKUP($D97,Original!$D:$AE,7,0),"")</f>
        <v/>
      </c>
      <c r="J97" s="7" t="str">
        <f>IFERROR(VLOOKUP($D97,Original!$D:$AE,8,0),"")</f>
        <v/>
      </c>
      <c r="K97" s="7" t="str">
        <f>IFERROR(VLOOKUP($D97,Original!$D:$AE,9,0),"")</f>
        <v/>
      </c>
      <c r="L97" s="8" t="str">
        <f>IFERROR(VLOOKUP($D97,Original!$D:$AE,10,0),"")</f>
        <v/>
      </c>
      <c r="M97" s="8" t="str">
        <f>IFERROR(VLOOKUP($D97,Original!$D:$AE,11,0),"")</f>
        <v/>
      </c>
      <c r="N97" s="64" t="str">
        <f>IFERROR(VLOOKUP($D97,Original!$D:$AE,12,0),"")</f>
        <v/>
      </c>
      <c r="O97" s="64" t="str">
        <f>IFERROR(VLOOKUP($D97,Original!$D:$AE,13,0),"")</f>
        <v/>
      </c>
      <c r="P97" s="64" t="str">
        <f>IFERROR(VLOOKUP($D97,Original!$D:$AE,14,0),"")</f>
        <v/>
      </c>
      <c r="Q97" s="64" t="str">
        <f>IFERROR(VLOOKUP($D97,Original!$D:$AE,15,0),"")</f>
        <v/>
      </c>
      <c r="R97" s="64" t="str">
        <f>IFERROR(VLOOKUP($D97,Original!$D:$AE,16,0),"")</f>
        <v/>
      </c>
      <c r="S97" s="64" t="str">
        <f>IFERROR(VLOOKUP($D97,Original!$D:$AE,17,0),"")</f>
        <v/>
      </c>
      <c r="T97" s="64" t="str">
        <f>IFERROR(VLOOKUP($D97,Original!$D:$AE,18,0),"")</f>
        <v/>
      </c>
      <c r="U97" s="64" t="str">
        <f>IFERROR(VLOOKUP($D97,Original!$D:$AE,19,0),"")</f>
        <v/>
      </c>
      <c r="V97" s="64" t="str">
        <f>IFERROR(VLOOKUP($D97,Original!$D:$AE,20,0),"")</f>
        <v/>
      </c>
      <c r="W97" s="64" t="str">
        <f>IFERROR(VLOOKUP($D97,Original!$D:$AE,21,0),"")</f>
        <v/>
      </c>
      <c r="X97" s="64" t="str">
        <f>IFERROR(VLOOKUP($D97,Original!$D:$AE,22,0),"")</f>
        <v/>
      </c>
      <c r="Y97" s="65" t="str">
        <f>IFERROR(VLOOKUP($D97,Original!$D:$AE,23,0),"")</f>
        <v/>
      </c>
      <c r="Z97" s="8" t="str">
        <f>IFERROR(VLOOKUP($D97,Original!$D:$AE,124,0),"")</f>
        <v/>
      </c>
      <c r="AA97" s="8" t="str">
        <f>IFERROR(VLOOKUP($D97,Original!$D:$AE,25,0),"")</f>
        <v/>
      </c>
      <c r="AB97" s="23"/>
      <c r="AC97" s="8"/>
      <c r="AD97" s="8"/>
      <c r="AE97" s="8" t="str">
        <f t="shared" si="30"/>
        <v>TRUE</v>
      </c>
      <c r="AF97" s="1"/>
    </row>
    <row r="98" spans="1:32" x14ac:dyDescent="0.25">
      <c r="A98" s="1"/>
      <c r="B98" s="5">
        <v>3</v>
      </c>
      <c r="C98" s="5" t="str">
        <f>$F$52&amp;E98</f>
        <v>C        FS14</v>
      </c>
      <c r="D98" s="5" t="str">
        <f t="shared" si="31"/>
        <v>C        FS14 3</v>
      </c>
      <c r="E98" s="5" t="str">
        <f>F95</f>
        <v xml:space="preserve">        FS14</v>
      </c>
      <c r="F98" s="5" t="str">
        <f>IFERROR(VLOOKUP($D98,Original!$D:$AE,4,0),"")</f>
        <v/>
      </c>
      <c r="G98" s="5" t="str">
        <f>IFERROR(VLOOKUP($D98,Original!$D:$AE,5,0),"")</f>
        <v/>
      </c>
      <c r="H98" s="5" t="str">
        <f>IFERROR(VLOOKUP($D98,Original!$D:$AE,6,0),"")</f>
        <v/>
      </c>
      <c r="I98" s="6" t="str">
        <f>IFERROR(VLOOKUP($D98,Original!$D:$AE,7,0),"")</f>
        <v/>
      </c>
      <c r="J98" s="7" t="str">
        <f>IFERROR(VLOOKUP($D98,Original!$D:$AE,8,0),"")</f>
        <v/>
      </c>
      <c r="K98" s="7" t="str">
        <f>IFERROR(VLOOKUP($D98,Original!$D:$AE,9,0),"")</f>
        <v/>
      </c>
      <c r="L98" s="8" t="str">
        <f>IFERROR(VLOOKUP($D98,Original!$D:$AE,10,0),"")</f>
        <v/>
      </c>
      <c r="M98" s="8" t="str">
        <f>IFERROR(VLOOKUP($D98,Original!$D:$AE,11,0),"")</f>
        <v/>
      </c>
      <c r="N98" s="64" t="str">
        <f>IFERROR(VLOOKUP($D98,Original!$D:$AE,12,0),"")</f>
        <v/>
      </c>
      <c r="O98" s="64" t="str">
        <f>IFERROR(VLOOKUP($D98,Original!$D:$AE,13,0),"")</f>
        <v/>
      </c>
      <c r="P98" s="64" t="str">
        <f>IFERROR(VLOOKUP($D98,Original!$D:$AE,14,0),"")</f>
        <v/>
      </c>
      <c r="Q98" s="64" t="str">
        <f>IFERROR(VLOOKUP($D98,Original!$D:$AE,15,0),"")</f>
        <v/>
      </c>
      <c r="R98" s="64" t="str">
        <f>IFERROR(VLOOKUP($D98,Original!$D:$AE,16,0),"")</f>
        <v/>
      </c>
      <c r="S98" s="64" t="str">
        <f>IFERROR(VLOOKUP($D98,Original!$D:$AE,17,0),"")</f>
        <v/>
      </c>
      <c r="T98" s="64" t="str">
        <f>IFERROR(VLOOKUP($D98,Original!$D:$AE,18,0),"")</f>
        <v/>
      </c>
      <c r="U98" s="64" t="str">
        <f>IFERROR(VLOOKUP($D98,Original!$D:$AE,19,0),"")</f>
        <v/>
      </c>
      <c r="V98" s="64" t="str">
        <f>IFERROR(VLOOKUP($D98,Original!$D:$AE,20,0),"")</f>
        <v/>
      </c>
      <c r="W98" s="64" t="str">
        <f>IFERROR(VLOOKUP($D98,Original!$D:$AE,21,0),"")</f>
        <v/>
      </c>
      <c r="X98" s="64" t="str">
        <f>IFERROR(VLOOKUP($D98,Original!$D:$AE,22,0),"")</f>
        <v/>
      </c>
      <c r="Y98" s="65" t="str">
        <f>IFERROR(VLOOKUP($D98,Original!$D:$AE,23,0),"")</f>
        <v/>
      </c>
      <c r="Z98" s="8" t="str">
        <f>IFERROR(VLOOKUP($D98,Original!$D:$AE,124,0),"")</f>
        <v/>
      </c>
      <c r="AA98" s="8" t="str">
        <f>IFERROR(VLOOKUP($D98,Original!$D:$AE,25,0),"")</f>
        <v/>
      </c>
      <c r="AB98" s="23"/>
      <c r="AC98" s="8"/>
      <c r="AD98" s="8"/>
      <c r="AE98" s="8" t="str">
        <f t="shared" si="30"/>
        <v>TRUE</v>
      </c>
      <c r="AF98" s="1"/>
    </row>
    <row r="99" spans="1:32" x14ac:dyDescent="0.25">
      <c r="A99" s="1"/>
      <c r="B99" s="12"/>
      <c r="C99" s="12"/>
      <c r="D99" s="12"/>
      <c r="E99" s="12"/>
      <c r="F99" s="62" t="str">
        <f>IF(F96="","",0)</f>
        <v/>
      </c>
      <c r="G99" s="13"/>
      <c r="H99" s="34" t="str">
        <f>$F$52</f>
        <v>C</v>
      </c>
      <c r="I99" s="34" t="str">
        <f>$F$52&amp;J99</f>
        <v>C        FS14</v>
      </c>
      <c r="J99" s="67" t="str">
        <f>F95</f>
        <v xml:space="preserve">        FS14</v>
      </c>
      <c r="K99" s="67"/>
      <c r="L99" s="67" t="s">
        <v>19</v>
      </c>
      <c r="M99" s="68"/>
      <c r="N99" s="42">
        <f>SUMIF($C:$C,$I99,N:N)</f>
        <v>0</v>
      </c>
      <c r="O99" s="42">
        <f>SUMIF($C:$C,$I99,O:O)</f>
        <v>0</v>
      </c>
      <c r="P99" s="42">
        <f>SUMIF($C:$C,$I99,P:P)</f>
        <v>0</v>
      </c>
      <c r="Q99" s="42">
        <f>SUMIF($C:$C,$I99,Q:Q)</f>
        <v>0</v>
      </c>
      <c r="R99" s="42">
        <f>SUMIF($C:$C,$I99,R:R)</f>
        <v>0</v>
      </c>
      <c r="S99" s="42">
        <f>SUMIF($C:$C,$I99,S:S)</f>
        <v>0</v>
      </c>
      <c r="T99" s="42">
        <f>SUMIF($C:$C,$I99,T:T)</f>
        <v>0</v>
      </c>
      <c r="U99" s="42"/>
      <c r="V99" s="42">
        <f>SUMIF($C:$C,$I99,V:V)</f>
        <v>0</v>
      </c>
      <c r="W99" s="42">
        <f>SUMIF($C:$C,$I99,W:W)</f>
        <v>0</v>
      </c>
      <c r="X99" s="42">
        <f>SUMIF($C:$C,$I99,X:X)</f>
        <v>0</v>
      </c>
      <c r="Y99" s="26"/>
      <c r="Z99" s="26"/>
      <c r="AA99" s="27" t="e">
        <f>N99/O99*100</f>
        <v>#DIV/0!</v>
      </c>
      <c r="AB99" s="37"/>
      <c r="AC99" s="27"/>
      <c r="AD99" s="27"/>
      <c r="AE99" s="27" t="str">
        <f t="shared" si="30"/>
        <v>TRUE</v>
      </c>
      <c r="AF99" s="1"/>
    </row>
    <row r="100" spans="1:32" x14ac:dyDescent="0.25">
      <c r="A100" s="1"/>
      <c r="B100" s="19"/>
      <c r="C100" s="19"/>
      <c r="D100" s="19"/>
      <c r="E100" s="19"/>
      <c r="F100" s="63">
        <v>0</v>
      </c>
      <c r="G100" s="20"/>
      <c r="H100" s="20"/>
      <c r="I100" s="20"/>
      <c r="J100" s="20"/>
      <c r="K100" s="20"/>
      <c r="L100" s="69" t="s">
        <v>20</v>
      </c>
      <c r="M100" s="69"/>
      <c r="N100" s="43">
        <f>SUMIF($H:$H,$F$52,N:N)</f>
        <v>13816</v>
      </c>
      <c r="O100" s="43">
        <f>SUMIF($H:$H,$F$52,O:O)</f>
        <v>29581.25</v>
      </c>
      <c r="P100" s="43">
        <f>SUMIF($H:$H,$F$52,P:P)</f>
        <v>2700</v>
      </c>
      <c r="Q100" s="43">
        <f>SUMIF($H:$H,$F$52,Q:Q)</f>
        <v>315</v>
      </c>
      <c r="R100" s="43">
        <f>SUMIF($H:$H,$F$52,R:R)</f>
        <v>0</v>
      </c>
      <c r="S100" s="43">
        <f>SUMIF($H:$H,$F$52,S:S)</f>
        <v>141</v>
      </c>
      <c r="T100" s="43">
        <f>SUMIF($H:$H,$F$52,T:T)</f>
        <v>50</v>
      </c>
      <c r="U100" s="43"/>
      <c r="V100" s="43">
        <f>SUMIF($H:$H,$F$52,V:V)</f>
        <v>20.170000000000002</v>
      </c>
      <c r="W100" s="43">
        <f>SUMIF($H:$H,$F$52,W:W)</f>
        <v>58</v>
      </c>
      <c r="X100" s="43">
        <f>SUMIF($H:$H,$F$52,X:X)</f>
        <v>2194</v>
      </c>
      <c r="Y100" s="28"/>
      <c r="Z100" s="28"/>
      <c r="AA100" s="29">
        <f>N100/O100*100</f>
        <v>46.70526093386858</v>
      </c>
      <c r="AB100" s="38"/>
      <c r="AC100" s="29"/>
      <c r="AD100" s="29"/>
      <c r="AE100" s="29" t="str">
        <f t="shared" si="25"/>
        <v>FALSE</v>
      </c>
      <c r="AF100" s="1"/>
    </row>
    <row r="101" spans="1:32" x14ac:dyDescent="0.25">
      <c r="A101" s="1"/>
      <c r="B101" s="21"/>
      <c r="C101" s="21"/>
      <c r="D101" s="21"/>
      <c r="E101" s="21"/>
      <c r="F101" s="22"/>
      <c r="G101" s="22"/>
      <c r="H101" s="22"/>
      <c r="I101" s="22"/>
      <c r="J101" s="22"/>
      <c r="K101" s="22"/>
      <c r="L101" s="66" t="s">
        <v>42</v>
      </c>
      <c r="M101" s="66"/>
      <c r="N101" s="44">
        <f t="shared" ref="N101:X101" si="32">N100+N51</f>
        <v>27428</v>
      </c>
      <c r="O101" s="44">
        <f t="shared" si="32"/>
        <v>75993.95</v>
      </c>
      <c r="P101" s="44">
        <f t="shared" si="32"/>
        <v>7020</v>
      </c>
      <c r="Q101" s="44">
        <f t="shared" si="32"/>
        <v>810</v>
      </c>
      <c r="R101" s="44">
        <f t="shared" si="32"/>
        <v>20</v>
      </c>
      <c r="S101" s="44">
        <f t="shared" si="32"/>
        <v>186</v>
      </c>
      <c r="T101" s="44">
        <f t="shared" si="32"/>
        <v>150</v>
      </c>
      <c r="U101" s="44">
        <f t="shared" si="32"/>
        <v>0</v>
      </c>
      <c r="V101" s="44">
        <f t="shared" si="32"/>
        <v>23.17</v>
      </c>
      <c r="W101" s="44">
        <f t="shared" si="32"/>
        <v>136</v>
      </c>
      <c r="X101" s="44">
        <f t="shared" si="32"/>
        <v>5854</v>
      </c>
      <c r="Y101" s="30"/>
      <c r="Z101" s="30"/>
      <c r="AA101" s="31">
        <f>N101/O101*100</f>
        <v>36.092346824977518</v>
      </c>
      <c r="AB101" s="39"/>
      <c r="AC101" s="31"/>
      <c r="AD101" s="31"/>
      <c r="AE101" s="31" t="str">
        <f t="shared" si="25"/>
        <v>TRUE</v>
      </c>
      <c r="AF101" s="1"/>
    </row>
    <row r="102" spans="1:32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56">
        <v>0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</row>
    <row r="103" spans="1:32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56">
        <v>0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</row>
    <row r="104" spans="1:32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56">
        <v>0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</row>
    <row r="105" spans="1:32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56">
        <v>0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</row>
    <row r="106" spans="1:32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56">
        <v>0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</row>
    <row r="107" spans="1:32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56">
        <v>0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</row>
    <row r="108" spans="1:32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56">
        <v>0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</row>
    <row r="109" spans="1:32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56">
        <v>0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</row>
    <row r="110" spans="1:32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56">
        <v>0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</row>
    <row r="111" spans="1:32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56">
        <v>0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</row>
    <row r="112" spans="1:32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56">
        <v>0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</row>
    <row r="113" spans="1:32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56">
        <v>0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</row>
    <row r="114" spans="1:32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56">
        <v>0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</row>
    <row r="115" spans="1:32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56">
        <v>0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</row>
    <row r="116" spans="1:32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56">
        <v>0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</row>
  </sheetData>
  <mergeCells count="41">
    <mergeCell ref="J99:K99"/>
    <mergeCell ref="L99:M99"/>
    <mergeCell ref="J50:K50"/>
    <mergeCell ref="L50:M50"/>
    <mergeCell ref="J25:K25"/>
    <mergeCell ref="J30:K30"/>
    <mergeCell ref="J40:K40"/>
    <mergeCell ref="J35:K35"/>
    <mergeCell ref="E1:AD2"/>
    <mergeCell ref="E3:AD3"/>
    <mergeCell ref="J10:K10"/>
    <mergeCell ref="J15:K15"/>
    <mergeCell ref="J20:K20"/>
    <mergeCell ref="L20:M20"/>
    <mergeCell ref="L35:M35"/>
    <mergeCell ref="L15:M15"/>
    <mergeCell ref="L10:M10"/>
    <mergeCell ref="L30:M30"/>
    <mergeCell ref="L25:M25"/>
    <mergeCell ref="J94:K94"/>
    <mergeCell ref="L94:M94"/>
    <mergeCell ref="J77:K77"/>
    <mergeCell ref="L77:M77"/>
    <mergeCell ref="L51:M51"/>
    <mergeCell ref="L72:M72"/>
    <mergeCell ref="L57:M57"/>
    <mergeCell ref="J67:K67"/>
    <mergeCell ref="L67:M67"/>
    <mergeCell ref="L89:M89"/>
    <mergeCell ref="J45:K45"/>
    <mergeCell ref="J57:K57"/>
    <mergeCell ref="J72:K72"/>
    <mergeCell ref="J89:K89"/>
    <mergeCell ref="J62:K62"/>
    <mergeCell ref="J82:K82"/>
    <mergeCell ref="L101:M101"/>
    <mergeCell ref="L62:M62"/>
    <mergeCell ref="L100:M100"/>
    <mergeCell ref="L45:M45"/>
    <mergeCell ref="L40:M40"/>
    <mergeCell ref="L82:M82"/>
  </mergeCells>
  <conditionalFormatting sqref="H1:H7 H15 H20 H25 H30 H35 H40 H45 H57 H62 H67 H72 H77 H82 H89 H94 H10 H100:H1048576 H51:H52">
    <cfRule type="cellIs" dxfId="113" priority="55" operator="equal">
      <formula>"DNR"</formula>
    </cfRule>
  </conditionalFormatting>
  <conditionalFormatting sqref="H11">
    <cfRule type="cellIs" dxfId="112" priority="54" operator="equal">
      <formula>"DNR"</formula>
    </cfRule>
  </conditionalFormatting>
  <conditionalFormatting sqref="H16">
    <cfRule type="cellIs" dxfId="111" priority="53" operator="equal">
      <formula>"DNR"</formula>
    </cfRule>
  </conditionalFormatting>
  <conditionalFormatting sqref="H21">
    <cfRule type="cellIs" dxfId="110" priority="52" operator="equal">
      <formula>"DNR"</formula>
    </cfRule>
  </conditionalFormatting>
  <conditionalFormatting sqref="H26">
    <cfRule type="cellIs" dxfId="109" priority="51" operator="equal">
      <formula>"DNR"</formula>
    </cfRule>
  </conditionalFormatting>
  <conditionalFormatting sqref="H31">
    <cfRule type="cellIs" dxfId="108" priority="50" operator="equal">
      <formula>"DNR"</formula>
    </cfRule>
  </conditionalFormatting>
  <conditionalFormatting sqref="H36">
    <cfRule type="cellIs" dxfId="107" priority="49" operator="equal">
      <formula>"DNR"</formula>
    </cfRule>
  </conditionalFormatting>
  <conditionalFormatting sqref="H41">
    <cfRule type="cellIs" dxfId="106" priority="48" operator="equal">
      <formula>"DNR"</formula>
    </cfRule>
  </conditionalFormatting>
  <conditionalFormatting sqref="H53">
    <cfRule type="cellIs" dxfId="105" priority="47" operator="equal">
      <formula>"DNR"</formula>
    </cfRule>
  </conditionalFormatting>
  <conditionalFormatting sqref="H58">
    <cfRule type="cellIs" dxfId="104" priority="46" operator="equal">
      <formula>"DNR"</formula>
    </cfRule>
  </conditionalFormatting>
  <conditionalFormatting sqref="H63">
    <cfRule type="cellIs" dxfId="103" priority="45" operator="equal">
      <formula>"DNR"</formula>
    </cfRule>
  </conditionalFormatting>
  <conditionalFormatting sqref="H68">
    <cfRule type="cellIs" dxfId="102" priority="44" operator="equal">
      <formula>"DNR"</formula>
    </cfRule>
  </conditionalFormatting>
  <conditionalFormatting sqref="H73">
    <cfRule type="cellIs" dxfId="101" priority="43" operator="equal">
      <formula>"DNR"</formula>
    </cfRule>
  </conditionalFormatting>
  <conditionalFormatting sqref="H78">
    <cfRule type="cellIs" dxfId="100" priority="42" operator="equal">
      <formula>"DNR"</formula>
    </cfRule>
  </conditionalFormatting>
  <conditionalFormatting sqref="H83">
    <cfRule type="cellIs" dxfId="99" priority="41" operator="equal">
      <formula>"DNR"</formula>
    </cfRule>
  </conditionalFormatting>
  <conditionalFormatting sqref="H90">
    <cfRule type="cellIs" dxfId="98" priority="40" operator="equal">
      <formula>"DNR"</formula>
    </cfRule>
  </conditionalFormatting>
  <conditionalFormatting sqref="H8:H9">
    <cfRule type="cellIs" dxfId="97" priority="39" operator="equal">
      <formula>"DNR"</formula>
    </cfRule>
  </conditionalFormatting>
  <conditionalFormatting sqref="H12">
    <cfRule type="cellIs" dxfId="96" priority="38" operator="equal">
      <formula>"DNR"</formula>
    </cfRule>
  </conditionalFormatting>
  <conditionalFormatting sqref="H13:H14">
    <cfRule type="cellIs" dxfId="95" priority="37" operator="equal">
      <formula>"DNR"</formula>
    </cfRule>
  </conditionalFormatting>
  <conditionalFormatting sqref="H17">
    <cfRule type="cellIs" dxfId="94" priority="36" operator="equal">
      <formula>"DNR"</formula>
    </cfRule>
  </conditionalFormatting>
  <conditionalFormatting sqref="H18:H19">
    <cfRule type="cellIs" dxfId="93" priority="35" operator="equal">
      <formula>"DNR"</formula>
    </cfRule>
  </conditionalFormatting>
  <conditionalFormatting sqref="H22">
    <cfRule type="cellIs" dxfId="92" priority="34" operator="equal">
      <formula>"DNR"</formula>
    </cfRule>
  </conditionalFormatting>
  <conditionalFormatting sqref="H23:H24">
    <cfRule type="cellIs" dxfId="91" priority="33" operator="equal">
      <formula>"DNR"</formula>
    </cfRule>
  </conditionalFormatting>
  <conditionalFormatting sqref="H27">
    <cfRule type="cellIs" dxfId="90" priority="32" operator="equal">
      <formula>"DNR"</formula>
    </cfRule>
  </conditionalFormatting>
  <conditionalFormatting sqref="H28:H29">
    <cfRule type="cellIs" dxfId="89" priority="31" operator="equal">
      <formula>"DNR"</formula>
    </cfRule>
  </conditionalFormatting>
  <conditionalFormatting sqref="H32">
    <cfRule type="cellIs" dxfId="88" priority="30" operator="equal">
      <formula>"DNR"</formula>
    </cfRule>
  </conditionalFormatting>
  <conditionalFormatting sqref="H33:H34">
    <cfRule type="cellIs" dxfId="87" priority="29" operator="equal">
      <formula>"DNR"</formula>
    </cfRule>
  </conditionalFormatting>
  <conditionalFormatting sqref="H37">
    <cfRule type="cellIs" dxfId="86" priority="28" operator="equal">
      <formula>"DNR"</formula>
    </cfRule>
  </conditionalFormatting>
  <conditionalFormatting sqref="H38:H39">
    <cfRule type="cellIs" dxfId="85" priority="27" operator="equal">
      <formula>"DNR"</formula>
    </cfRule>
  </conditionalFormatting>
  <conditionalFormatting sqref="H42">
    <cfRule type="cellIs" dxfId="84" priority="26" operator="equal">
      <formula>"DNR"</formula>
    </cfRule>
  </conditionalFormatting>
  <conditionalFormatting sqref="H43:H44">
    <cfRule type="cellIs" dxfId="83" priority="25" operator="equal">
      <formula>"DNR"</formula>
    </cfRule>
  </conditionalFormatting>
  <conditionalFormatting sqref="H54">
    <cfRule type="cellIs" dxfId="82" priority="24" operator="equal">
      <formula>"DNR"</formula>
    </cfRule>
  </conditionalFormatting>
  <conditionalFormatting sqref="H55:H56">
    <cfRule type="cellIs" dxfId="81" priority="23" operator="equal">
      <formula>"DNR"</formula>
    </cfRule>
  </conditionalFormatting>
  <conditionalFormatting sqref="H59">
    <cfRule type="cellIs" dxfId="80" priority="22" operator="equal">
      <formula>"DNR"</formula>
    </cfRule>
  </conditionalFormatting>
  <conditionalFormatting sqref="H60:H61">
    <cfRule type="cellIs" dxfId="79" priority="21" operator="equal">
      <formula>"DNR"</formula>
    </cfRule>
  </conditionalFormatting>
  <conditionalFormatting sqref="H64">
    <cfRule type="cellIs" dxfId="78" priority="20" operator="equal">
      <formula>"DNR"</formula>
    </cfRule>
  </conditionalFormatting>
  <conditionalFormatting sqref="H65:H66">
    <cfRule type="cellIs" dxfId="77" priority="19" operator="equal">
      <formula>"DNR"</formula>
    </cfRule>
  </conditionalFormatting>
  <conditionalFormatting sqref="H69">
    <cfRule type="cellIs" dxfId="76" priority="18" operator="equal">
      <formula>"DNR"</formula>
    </cfRule>
  </conditionalFormatting>
  <conditionalFormatting sqref="H70:H71">
    <cfRule type="cellIs" dxfId="75" priority="17" operator="equal">
      <formula>"DNR"</formula>
    </cfRule>
  </conditionalFormatting>
  <conditionalFormatting sqref="H74">
    <cfRule type="cellIs" dxfId="74" priority="16" operator="equal">
      <formula>"DNR"</formula>
    </cfRule>
  </conditionalFormatting>
  <conditionalFormatting sqref="H75:H76">
    <cfRule type="cellIs" dxfId="73" priority="15" operator="equal">
      <formula>"DNR"</formula>
    </cfRule>
  </conditionalFormatting>
  <conditionalFormatting sqref="H79">
    <cfRule type="cellIs" dxfId="72" priority="14" operator="equal">
      <formula>"DNR"</formula>
    </cfRule>
  </conditionalFormatting>
  <conditionalFormatting sqref="H80:H81">
    <cfRule type="cellIs" dxfId="71" priority="13" operator="equal">
      <formula>"DNR"</formula>
    </cfRule>
  </conditionalFormatting>
  <conditionalFormatting sqref="H84 H87">
    <cfRule type="cellIs" dxfId="70" priority="12" operator="equal">
      <formula>"DNR"</formula>
    </cfRule>
  </conditionalFormatting>
  <conditionalFormatting sqref="H85:H86 H88">
    <cfRule type="cellIs" dxfId="69" priority="11" operator="equal">
      <formula>"DNR"</formula>
    </cfRule>
  </conditionalFormatting>
  <conditionalFormatting sqref="H91">
    <cfRule type="cellIs" dxfId="68" priority="10" operator="equal">
      <formula>"DNR"</formula>
    </cfRule>
  </conditionalFormatting>
  <conditionalFormatting sqref="H92:H93">
    <cfRule type="cellIs" dxfId="67" priority="9" operator="equal">
      <formula>"DNR"</formula>
    </cfRule>
  </conditionalFormatting>
  <conditionalFormatting sqref="H99">
    <cfRule type="cellIs" dxfId="66" priority="8" operator="equal">
      <formula>"DNR"</formula>
    </cfRule>
  </conditionalFormatting>
  <conditionalFormatting sqref="H95">
    <cfRule type="cellIs" dxfId="65" priority="7" operator="equal">
      <formula>"DNR"</formula>
    </cfRule>
  </conditionalFormatting>
  <conditionalFormatting sqref="H96">
    <cfRule type="cellIs" dxfId="64" priority="6" operator="equal">
      <formula>"DNR"</formula>
    </cfRule>
  </conditionalFormatting>
  <conditionalFormatting sqref="H97:H98">
    <cfRule type="cellIs" dxfId="63" priority="5" operator="equal">
      <formula>"DNR"</formula>
    </cfRule>
  </conditionalFormatting>
  <conditionalFormatting sqref="H50">
    <cfRule type="cellIs" dxfId="62" priority="4" operator="equal">
      <formula>"DNR"</formula>
    </cfRule>
  </conditionalFormatting>
  <conditionalFormatting sqref="H46">
    <cfRule type="cellIs" dxfId="61" priority="3" operator="equal">
      <formula>"DNR"</formula>
    </cfRule>
  </conditionalFormatting>
  <conditionalFormatting sqref="H47">
    <cfRule type="cellIs" dxfId="60" priority="2" operator="equal">
      <formula>"DNR"</formula>
    </cfRule>
  </conditionalFormatting>
  <conditionalFormatting sqref="H48:H49">
    <cfRule type="cellIs" dxfId="59" priority="1" operator="equal">
      <formula>"DNR"</formula>
    </cfRule>
  </conditionalFormatting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4FE49-B651-40AE-A7EA-F04FCF9C5D11}">
  <sheetPr codeName="Sheet3"/>
  <dimension ref="A1:AF91"/>
  <sheetViews>
    <sheetView workbookViewId="0">
      <pane ySplit="4" topLeftCell="A5" activePane="bottomLeft" state="frozen"/>
      <selection pane="bottomLeft" activeCell="G34" sqref="G34"/>
    </sheetView>
  </sheetViews>
  <sheetFormatPr defaultColWidth="9.140625" defaultRowHeight="15" x14ac:dyDescent="0.25"/>
  <cols>
    <col min="1" max="1" width="2.85546875" style="3" customWidth="1"/>
    <col min="2" max="3" width="2.85546875" style="3" hidden="1" customWidth="1"/>
    <col min="4" max="4" width="9.5703125" style="3" hidden="1" customWidth="1"/>
    <col min="5" max="5" width="10" style="3" customWidth="1"/>
    <col min="6" max="6" width="9.28515625" style="3" customWidth="1"/>
    <col min="7" max="7" width="30" style="3" customWidth="1"/>
    <col min="8" max="8" width="7" style="3" bestFit="1" customWidth="1"/>
    <col min="9" max="9" width="10.7109375" style="3" bestFit="1" customWidth="1"/>
    <col min="10" max="11" width="6.42578125" style="3" customWidth="1"/>
    <col min="12" max="13" width="10" style="3" customWidth="1"/>
    <col min="14" max="15" width="9.28515625" style="3" customWidth="1"/>
    <col min="16" max="19" width="7.140625" style="3" customWidth="1"/>
    <col min="20" max="20" width="8.5703125" style="3" customWidth="1"/>
    <col min="21" max="23" width="10" style="3" customWidth="1"/>
    <col min="24" max="24" width="7.140625" style="3" customWidth="1"/>
    <col min="25" max="26" width="10" style="3" customWidth="1"/>
    <col min="27" max="27" width="7.85546875" style="3" customWidth="1"/>
    <col min="28" max="31" width="10.7109375" style="3" hidden="1" customWidth="1"/>
    <col min="32" max="32" width="2.85546875" style="3" customWidth="1"/>
    <col min="33" max="16384" width="9.140625" style="3"/>
  </cols>
  <sheetData>
    <row r="1" spans="1:32" ht="15" customHeight="1" x14ac:dyDescent="0.25">
      <c r="A1" s="1"/>
      <c r="B1" s="1"/>
      <c r="C1" s="1"/>
      <c r="D1" s="1"/>
      <c r="E1" s="70" t="s">
        <v>0</v>
      </c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45"/>
      <c r="AF1" s="1"/>
    </row>
    <row r="2" spans="1:32" ht="15" customHeight="1" x14ac:dyDescent="0.25">
      <c r="A2" s="1"/>
      <c r="B2" s="1"/>
      <c r="C2" s="1"/>
      <c r="D2" s="1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45"/>
      <c r="AF2" s="1"/>
    </row>
    <row r="3" spans="1:32" x14ac:dyDescent="0.25">
      <c r="A3" s="1"/>
      <c r="B3" s="1"/>
      <c r="C3" s="1"/>
      <c r="D3" s="1"/>
      <c r="E3" s="71">
        <f>Original!G4</f>
        <v>44901</v>
      </c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57"/>
      <c r="AF3" s="1"/>
    </row>
    <row r="4" spans="1:32" s="4" customFormat="1" ht="45" x14ac:dyDescent="0.25">
      <c r="A4" s="2"/>
      <c r="B4" s="2"/>
      <c r="C4" s="2"/>
      <c r="D4" s="24" t="s">
        <v>44</v>
      </c>
      <c r="E4" s="24" t="s">
        <v>1</v>
      </c>
      <c r="F4" s="24" t="s">
        <v>2</v>
      </c>
      <c r="G4" s="24" t="s">
        <v>3</v>
      </c>
      <c r="H4" s="24" t="s">
        <v>4</v>
      </c>
      <c r="I4" s="24" t="s">
        <v>38</v>
      </c>
      <c r="J4" s="24" t="s">
        <v>6</v>
      </c>
      <c r="K4" s="24" t="s">
        <v>7</v>
      </c>
      <c r="L4" s="24" t="s">
        <v>11</v>
      </c>
      <c r="M4" s="24" t="s">
        <v>12</v>
      </c>
      <c r="N4" s="24" t="s">
        <v>13</v>
      </c>
      <c r="O4" s="24" t="s">
        <v>14</v>
      </c>
      <c r="P4" s="24" t="s">
        <v>8</v>
      </c>
      <c r="Q4" s="24" t="s">
        <v>39</v>
      </c>
      <c r="R4" s="24" t="s">
        <v>40</v>
      </c>
      <c r="S4" s="25" t="s">
        <v>5</v>
      </c>
      <c r="T4" s="24" t="s">
        <v>51</v>
      </c>
      <c r="U4" s="24" t="s">
        <v>15</v>
      </c>
      <c r="V4" s="24" t="s">
        <v>41</v>
      </c>
      <c r="W4" s="24" t="s">
        <v>16</v>
      </c>
      <c r="X4" s="24" t="s">
        <v>9</v>
      </c>
      <c r="Y4" s="24" t="s">
        <v>17</v>
      </c>
      <c r="Z4" s="24" t="s">
        <v>18</v>
      </c>
      <c r="AA4" s="25" t="s">
        <v>10</v>
      </c>
      <c r="AB4" s="40" t="s">
        <v>52</v>
      </c>
      <c r="AC4" s="24" t="s">
        <v>53</v>
      </c>
      <c r="AD4" s="24" t="s">
        <v>54</v>
      </c>
      <c r="AE4" s="24" t="s">
        <v>106</v>
      </c>
      <c r="AF4" s="2"/>
    </row>
    <row r="5" spans="1:32" x14ac:dyDescent="0.25">
      <c r="A5" s="1"/>
      <c r="B5" s="1"/>
      <c r="C5" s="1"/>
      <c r="D5" s="32"/>
      <c r="E5" s="9" t="s">
        <v>35</v>
      </c>
      <c r="F5" s="33" t="s">
        <v>43</v>
      </c>
      <c r="G5" s="51">
        <v>0</v>
      </c>
      <c r="H5" s="51">
        <v>0</v>
      </c>
      <c r="I5" s="51">
        <v>0</v>
      </c>
      <c r="J5" s="51">
        <v>0</v>
      </c>
      <c r="K5" s="51">
        <v>0</v>
      </c>
      <c r="L5" s="51">
        <v>0</v>
      </c>
      <c r="M5" s="51">
        <v>0</v>
      </c>
      <c r="N5" s="51">
        <v>0</v>
      </c>
      <c r="O5" s="51">
        <v>0</v>
      </c>
      <c r="P5" s="51">
        <v>0</v>
      </c>
      <c r="Q5" s="51">
        <v>0</v>
      </c>
      <c r="R5" s="51">
        <v>0</v>
      </c>
      <c r="S5" s="51">
        <v>0</v>
      </c>
      <c r="T5" s="51">
        <v>0</v>
      </c>
      <c r="U5" s="51">
        <v>0</v>
      </c>
      <c r="V5" s="51">
        <v>0</v>
      </c>
      <c r="W5" s="51">
        <v>0</v>
      </c>
      <c r="X5" s="51">
        <v>0</v>
      </c>
      <c r="Y5" s="51">
        <v>0</v>
      </c>
      <c r="Z5" s="51">
        <v>0</v>
      </c>
      <c r="AA5" s="52">
        <v>0</v>
      </c>
      <c r="AB5" s="10"/>
      <c r="AC5" s="10"/>
      <c r="AD5" s="11"/>
      <c r="AE5" s="11" t="b">
        <f>IF(OR(F5="",H5="DNR"), "TRUE", FALSE)</f>
        <v>0</v>
      </c>
      <c r="AF5" s="1"/>
    </row>
    <row r="6" spans="1:32" x14ac:dyDescent="0.25">
      <c r="A6" s="1"/>
      <c r="B6" s="1"/>
      <c r="C6" s="1"/>
      <c r="D6" s="14"/>
      <c r="E6" s="14" t="s">
        <v>22</v>
      </c>
      <c r="F6" s="15" t="s">
        <v>21</v>
      </c>
      <c r="G6" s="16" t="s">
        <v>37</v>
      </c>
      <c r="H6" s="54">
        <f>IF(H7="","DNR",0)</f>
        <v>0</v>
      </c>
      <c r="I6" s="53">
        <v>0</v>
      </c>
      <c r="J6" s="54">
        <v>0</v>
      </c>
      <c r="K6" s="54">
        <v>0</v>
      </c>
      <c r="L6" s="54">
        <v>0</v>
      </c>
      <c r="M6" s="54">
        <v>0</v>
      </c>
      <c r="N6" s="54">
        <f>IF(F7="","DNR",0)</f>
        <v>0</v>
      </c>
      <c r="O6" s="54">
        <v>0</v>
      </c>
      <c r="P6" s="54">
        <v>0</v>
      </c>
      <c r="Q6" s="54">
        <v>0</v>
      </c>
      <c r="R6" s="54">
        <v>0</v>
      </c>
      <c r="S6" s="54">
        <v>0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5">
        <v>0</v>
      </c>
      <c r="AB6" s="16"/>
      <c r="AC6" s="16"/>
      <c r="AD6" s="17"/>
      <c r="AE6" s="17" t="b">
        <f t="shared" ref="AE6:AE51" si="0">IF(OR(F6="",H6="DNR"), "TRUE", FALSE)</f>
        <v>0</v>
      </c>
      <c r="AF6" s="1"/>
    </row>
    <row r="7" spans="1:32" x14ac:dyDescent="0.25">
      <c r="A7" s="1"/>
      <c r="B7" s="1"/>
      <c r="C7" s="1"/>
      <c r="D7" s="5" t="str">
        <f>$F$5&amp;E7</f>
        <v>B        FS01</v>
      </c>
      <c r="E7" s="5" t="str">
        <f>'Both Shifts'!E7</f>
        <v xml:space="preserve">        FS01</v>
      </c>
      <c r="F7" s="5">
        <f>'Both Shifts'!F7</f>
        <v>30008035</v>
      </c>
      <c r="G7" s="5" t="str">
        <f>'Both Shifts'!G7</f>
        <v>SEAG GIN 80P 12/750 ND US</v>
      </c>
      <c r="H7" s="5">
        <f>'Both Shifts'!H7</f>
        <v>408915</v>
      </c>
      <c r="I7" s="6">
        <f>'Both Shifts'!I7</f>
        <v>44901</v>
      </c>
      <c r="J7" s="7">
        <f>'Both Shifts'!J7</f>
        <v>0.14583333333333334</v>
      </c>
      <c r="K7" s="7">
        <f>'Both Shifts'!K7</f>
        <v>0.64583333333333337</v>
      </c>
      <c r="L7" s="8">
        <f>'Both Shifts'!L7</f>
        <v>8</v>
      </c>
      <c r="M7" s="8">
        <f>'Both Shifts'!M7</f>
        <v>12</v>
      </c>
      <c r="N7" s="64">
        <f>'Both Shifts'!N7</f>
        <v>3920</v>
      </c>
      <c r="O7" s="64">
        <f>'Both Shifts'!O7</f>
        <v>7975</v>
      </c>
      <c r="P7" s="64">
        <f>'Both Shifts'!P7</f>
        <v>720</v>
      </c>
      <c r="Q7" s="64">
        <f>'Both Shifts'!Q7</f>
        <v>100</v>
      </c>
      <c r="R7" s="64">
        <f>'Both Shifts'!R7</f>
        <v>20</v>
      </c>
      <c r="S7" s="64">
        <f>'Both Shifts'!S7</f>
        <v>0</v>
      </c>
      <c r="T7" s="64">
        <f>'Both Shifts'!T7</f>
        <v>20</v>
      </c>
      <c r="U7" s="64">
        <f>'Both Shifts'!U7</f>
        <v>0</v>
      </c>
      <c r="V7" s="64">
        <f>'Both Shifts'!V7</f>
        <v>0</v>
      </c>
      <c r="W7" s="64">
        <f>'Both Shifts'!W7</f>
        <v>10</v>
      </c>
      <c r="X7" s="64">
        <f>'Both Shifts'!X7</f>
        <v>580</v>
      </c>
      <c r="Y7" s="65">
        <f>'Both Shifts'!Y7</f>
        <v>165</v>
      </c>
      <c r="Z7" s="8" t="str">
        <f>'Both Shifts'!Z7</f>
        <v/>
      </c>
      <c r="AA7" s="8">
        <f>'Both Shifts'!AA7</f>
        <v>49.15</v>
      </c>
      <c r="AB7" s="23"/>
      <c r="AC7" s="8"/>
      <c r="AD7" s="8"/>
      <c r="AE7" s="8" t="b">
        <f t="shared" si="0"/>
        <v>0</v>
      </c>
      <c r="AF7" s="1"/>
    </row>
    <row r="8" spans="1:32" x14ac:dyDescent="0.25">
      <c r="A8" s="1"/>
      <c r="B8" s="1"/>
      <c r="C8" s="1"/>
      <c r="D8" s="5" t="str">
        <f t="shared" ref="D8:D9" si="1">$F$5&amp;E8</f>
        <v>B        FS01</v>
      </c>
      <c r="E8" s="5" t="str">
        <f>'Both Shifts'!E8</f>
        <v xml:space="preserve">        FS01</v>
      </c>
      <c r="F8" s="5" t="str">
        <f>'Both Shifts'!F8</f>
        <v/>
      </c>
      <c r="G8" s="5" t="str">
        <f>'Both Shifts'!G8</f>
        <v/>
      </c>
      <c r="H8" s="5" t="str">
        <f>'Both Shifts'!H8</f>
        <v/>
      </c>
      <c r="I8" s="6" t="str">
        <f>'Both Shifts'!I8</f>
        <v/>
      </c>
      <c r="J8" s="7" t="str">
        <f>'Both Shifts'!J8</f>
        <v/>
      </c>
      <c r="K8" s="7" t="str">
        <f>'Both Shifts'!K8</f>
        <v/>
      </c>
      <c r="L8" s="8" t="str">
        <f>'Both Shifts'!L8</f>
        <v/>
      </c>
      <c r="M8" s="8" t="str">
        <f>'Both Shifts'!M8</f>
        <v/>
      </c>
      <c r="N8" s="64" t="str">
        <f>'Both Shifts'!N8</f>
        <v/>
      </c>
      <c r="O8" s="64" t="str">
        <f>'Both Shifts'!O8</f>
        <v/>
      </c>
      <c r="P8" s="64" t="str">
        <f>'Both Shifts'!P8</f>
        <v/>
      </c>
      <c r="Q8" s="64" t="str">
        <f>'Both Shifts'!Q8</f>
        <v/>
      </c>
      <c r="R8" s="64" t="str">
        <f>'Both Shifts'!R8</f>
        <v/>
      </c>
      <c r="S8" s="64" t="str">
        <f>'Both Shifts'!S8</f>
        <v/>
      </c>
      <c r="T8" s="64" t="str">
        <f>'Both Shifts'!T8</f>
        <v/>
      </c>
      <c r="U8" s="64" t="str">
        <f>'Both Shifts'!U8</f>
        <v/>
      </c>
      <c r="V8" s="64" t="str">
        <f>'Both Shifts'!V8</f>
        <v/>
      </c>
      <c r="W8" s="64" t="str">
        <f>'Both Shifts'!W8</f>
        <v/>
      </c>
      <c r="X8" s="64" t="str">
        <f>'Both Shifts'!X8</f>
        <v/>
      </c>
      <c r="Y8" s="65" t="str">
        <f>'Both Shifts'!Y8</f>
        <v/>
      </c>
      <c r="Z8" s="8" t="str">
        <f>'Both Shifts'!Z8</f>
        <v/>
      </c>
      <c r="AA8" s="8" t="str">
        <f>'Both Shifts'!AA8</f>
        <v/>
      </c>
      <c r="AB8" s="23"/>
      <c r="AC8" s="8"/>
      <c r="AD8" s="8"/>
      <c r="AE8" s="8" t="str">
        <f t="shared" si="0"/>
        <v>TRUE</v>
      </c>
      <c r="AF8" s="1"/>
    </row>
    <row r="9" spans="1:32" x14ac:dyDescent="0.25">
      <c r="A9" s="1"/>
      <c r="B9" s="1"/>
      <c r="C9" s="1"/>
      <c r="D9" s="5" t="str">
        <f t="shared" si="1"/>
        <v>B        FS01</v>
      </c>
      <c r="E9" s="5" t="str">
        <f>'Both Shifts'!E9</f>
        <v xml:space="preserve">        FS01</v>
      </c>
      <c r="F9" s="5" t="str">
        <f>'Both Shifts'!F9</f>
        <v/>
      </c>
      <c r="G9" s="5" t="str">
        <f>'Both Shifts'!G9</f>
        <v/>
      </c>
      <c r="H9" s="5" t="str">
        <f>'Both Shifts'!H9</f>
        <v/>
      </c>
      <c r="I9" s="6" t="str">
        <f>'Both Shifts'!I9</f>
        <v/>
      </c>
      <c r="J9" s="7" t="str">
        <f>'Both Shifts'!J9</f>
        <v/>
      </c>
      <c r="K9" s="7" t="str">
        <f>'Both Shifts'!K9</f>
        <v/>
      </c>
      <c r="L9" s="8" t="str">
        <f>'Both Shifts'!L9</f>
        <v/>
      </c>
      <c r="M9" s="8" t="str">
        <f>'Both Shifts'!M9</f>
        <v/>
      </c>
      <c r="N9" s="64" t="str">
        <f>'Both Shifts'!N9</f>
        <v/>
      </c>
      <c r="O9" s="64" t="str">
        <f>'Both Shifts'!O9</f>
        <v/>
      </c>
      <c r="P9" s="64" t="str">
        <f>'Both Shifts'!P9</f>
        <v/>
      </c>
      <c r="Q9" s="64" t="str">
        <f>'Both Shifts'!Q9</f>
        <v/>
      </c>
      <c r="R9" s="64" t="str">
        <f>'Both Shifts'!R9</f>
        <v/>
      </c>
      <c r="S9" s="64" t="str">
        <f>'Both Shifts'!S9</f>
        <v/>
      </c>
      <c r="T9" s="64" t="str">
        <f>'Both Shifts'!T9</f>
        <v/>
      </c>
      <c r="U9" s="64" t="str">
        <f>'Both Shifts'!U9</f>
        <v/>
      </c>
      <c r="V9" s="64" t="str">
        <f>'Both Shifts'!V9</f>
        <v/>
      </c>
      <c r="W9" s="64" t="str">
        <f>'Both Shifts'!W9</f>
        <v/>
      </c>
      <c r="X9" s="64" t="str">
        <f>'Both Shifts'!X9</f>
        <v/>
      </c>
      <c r="Y9" s="65" t="str">
        <f>'Both Shifts'!Y9</f>
        <v/>
      </c>
      <c r="Z9" s="8" t="str">
        <f>'Both Shifts'!Z9</f>
        <v/>
      </c>
      <c r="AA9" s="8" t="str">
        <f>'Both Shifts'!AA9</f>
        <v/>
      </c>
      <c r="AB9" s="23"/>
      <c r="AC9" s="8"/>
      <c r="AD9" s="8"/>
      <c r="AE9" s="8" t="str">
        <f t="shared" si="0"/>
        <v>TRUE</v>
      </c>
      <c r="AF9" s="1"/>
    </row>
    <row r="10" spans="1:32" x14ac:dyDescent="0.25">
      <c r="A10" s="1"/>
      <c r="B10" s="1"/>
      <c r="C10" s="1"/>
      <c r="D10" s="12"/>
      <c r="E10" s="12"/>
      <c r="F10" s="62">
        <f>IF(F7="","",0)</f>
        <v>0</v>
      </c>
      <c r="G10" s="13"/>
      <c r="H10" s="34" t="str">
        <f>$F$5</f>
        <v>B</v>
      </c>
      <c r="I10" s="34" t="str">
        <f>$F$5&amp;J10</f>
        <v>B        FS01</v>
      </c>
      <c r="J10" s="67" t="str">
        <f>F6</f>
        <v xml:space="preserve">        FS01</v>
      </c>
      <c r="K10" s="67"/>
      <c r="L10" s="67" t="s">
        <v>19</v>
      </c>
      <c r="M10" s="68"/>
      <c r="N10" s="42">
        <f>SUMIF($D:$D,$I10,N:N)</f>
        <v>3920</v>
      </c>
      <c r="O10" s="42">
        <f>SUMIF($D:$D,$I10,O:O)</f>
        <v>7975</v>
      </c>
      <c r="P10" s="42">
        <f>SUMIF($D:$D,$I10,P:P)</f>
        <v>720</v>
      </c>
      <c r="Q10" s="42">
        <f>SUMIF($D:$D,$I10,Q:Q)</f>
        <v>100</v>
      </c>
      <c r="R10" s="42">
        <f>SUMIF($D:$D,$I10,R:R)</f>
        <v>20</v>
      </c>
      <c r="S10" s="42">
        <f>SUMIF($D:$D,$I10,S:S)</f>
        <v>0</v>
      </c>
      <c r="T10" s="42">
        <f>SUMIF($D:$D,$I10,T:T)</f>
        <v>20</v>
      </c>
      <c r="U10" s="42"/>
      <c r="V10" s="42">
        <f>SUMIF($D:$D,$I10,V:V)</f>
        <v>0</v>
      </c>
      <c r="W10" s="42">
        <f>SUMIF($D:$D,$I10,W:W)</f>
        <v>10</v>
      </c>
      <c r="X10" s="42">
        <f>SUMIF($D:$D,$I10,X:X)</f>
        <v>580</v>
      </c>
      <c r="Y10" s="26"/>
      <c r="Z10" s="26"/>
      <c r="AA10" s="27">
        <f>N10/O10*100</f>
        <v>49.153605015673982</v>
      </c>
      <c r="AB10" s="35"/>
      <c r="AC10" s="26"/>
      <c r="AD10" s="27"/>
      <c r="AE10" s="27" t="b">
        <f t="shared" si="0"/>
        <v>0</v>
      </c>
      <c r="AF10" s="1"/>
    </row>
    <row r="11" spans="1:32" x14ac:dyDescent="0.25">
      <c r="A11" s="1"/>
      <c r="B11" s="1"/>
      <c r="C11" s="1"/>
      <c r="D11" s="14"/>
      <c r="E11" s="14" t="s">
        <v>22</v>
      </c>
      <c r="F11" s="15" t="s">
        <v>23</v>
      </c>
      <c r="G11" s="16" t="s">
        <v>24</v>
      </c>
      <c r="H11" s="54">
        <f>IF(H12="","DNR",0)</f>
        <v>0</v>
      </c>
      <c r="I11" s="53">
        <v>0</v>
      </c>
      <c r="J11" s="54">
        <v>0</v>
      </c>
      <c r="K11" s="54">
        <v>0</v>
      </c>
      <c r="L11" s="54">
        <v>0</v>
      </c>
      <c r="M11" s="54">
        <v>0</v>
      </c>
      <c r="N11" s="54">
        <f>IF(F12="","DNR",0)</f>
        <v>0</v>
      </c>
      <c r="O11" s="54">
        <v>0</v>
      </c>
      <c r="P11" s="54">
        <v>0</v>
      </c>
      <c r="Q11" s="54">
        <v>0</v>
      </c>
      <c r="R11" s="54">
        <v>0</v>
      </c>
      <c r="S11" s="54">
        <v>0</v>
      </c>
      <c r="T11" s="54">
        <v>0</v>
      </c>
      <c r="U11" s="54">
        <v>0</v>
      </c>
      <c r="V11" s="54">
        <v>0</v>
      </c>
      <c r="W11" s="54">
        <v>0</v>
      </c>
      <c r="X11" s="54">
        <v>0</v>
      </c>
      <c r="Y11" s="54">
        <v>0</v>
      </c>
      <c r="Z11" s="54">
        <v>0</v>
      </c>
      <c r="AA11" s="55">
        <v>0</v>
      </c>
      <c r="AB11" s="16"/>
      <c r="AC11" s="16"/>
      <c r="AD11" s="17"/>
      <c r="AE11" s="17" t="b">
        <f t="shared" si="0"/>
        <v>0</v>
      </c>
      <c r="AF11" s="1"/>
    </row>
    <row r="12" spans="1:32" x14ac:dyDescent="0.25">
      <c r="A12" s="1"/>
      <c r="B12" s="1"/>
      <c r="C12" s="1"/>
      <c r="D12" s="5" t="str">
        <f t="shared" ref="D12:D14" si="2">$F$5&amp;E12</f>
        <v>B        FS03</v>
      </c>
      <c r="E12" s="5" t="str">
        <f>'Both Shifts'!E12</f>
        <v xml:space="preserve">        FS03</v>
      </c>
      <c r="F12" s="5">
        <f>'Both Shifts'!F12</f>
        <v>96700026</v>
      </c>
      <c r="G12" s="5" t="str">
        <f>'Both Shifts'!G12</f>
        <v>SV EXS80 120/50PT CP</v>
      </c>
      <c r="H12" s="5">
        <f>'Both Shifts'!H12</f>
        <v>408959</v>
      </c>
      <c r="I12" s="6">
        <f>'Both Shifts'!I12</f>
        <v>44901</v>
      </c>
      <c r="J12" s="7">
        <f>'Both Shifts'!J12</f>
        <v>0.14583333333333334</v>
      </c>
      <c r="K12" s="7">
        <f>'Both Shifts'!K12</f>
        <v>0.64583333333333337</v>
      </c>
      <c r="L12" s="8">
        <f>'Both Shifts'!L12</f>
        <v>9</v>
      </c>
      <c r="M12" s="8">
        <f>'Both Shifts'!M12</f>
        <v>12</v>
      </c>
      <c r="N12" s="64">
        <f>'Both Shifts'!N12</f>
        <v>486</v>
      </c>
      <c r="O12" s="64">
        <f>'Both Shifts'!O12</f>
        <v>1915.83</v>
      </c>
      <c r="P12" s="64">
        <f>'Both Shifts'!P12</f>
        <v>720</v>
      </c>
      <c r="Q12" s="64">
        <f>'Both Shifts'!Q12</f>
        <v>105</v>
      </c>
      <c r="R12" s="64">
        <f>'Both Shifts'!R12</f>
        <v>0</v>
      </c>
      <c r="S12" s="64">
        <f>'Both Shifts'!S12</f>
        <v>0</v>
      </c>
      <c r="T12" s="64">
        <f>'Both Shifts'!T12</f>
        <v>10</v>
      </c>
      <c r="U12" s="64">
        <f>'Both Shifts'!U12</f>
        <v>0</v>
      </c>
      <c r="V12" s="64">
        <f>'Both Shifts'!V12</f>
        <v>0</v>
      </c>
      <c r="W12" s="64">
        <f>'Both Shifts'!W12</f>
        <v>10</v>
      </c>
      <c r="X12" s="64">
        <f>'Both Shifts'!X12</f>
        <v>605</v>
      </c>
      <c r="Y12" s="65">
        <f>'Both Shifts'!Y12</f>
        <v>380</v>
      </c>
      <c r="Z12" s="8" t="str">
        <f>'Both Shifts'!Z12</f>
        <v/>
      </c>
      <c r="AA12" s="8">
        <f>'Both Shifts'!AA12</f>
        <v>25.37</v>
      </c>
      <c r="AB12" s="23"/>
      <c r="AC12" s="8"/>
      <c r="AD12" s="8"/>
      <c r="AE12" s="8" t="b">
        <f t="shared" si="0"/>
        <v>0</v>
      </c>
      <c r="AF12" s="1"/>
    </row>
    <row r="13" spans="1:32" x14ac:dyDescent="0.25">
      <c r="A13" s="1"/>
      <c r="B13" s="1"/>
      <c r="C13" s="1"/>
      <c r="D13" s="5" t="str">
        <f t="shared" si="2"/>
        <v>B        FS03</v>
      </c>
      <c r="E13" s="5" t="str">
        <f>'Both Shifts'!E13</f>
        <v xml:space="preserve">        FS03</v>
      </c>
      <c r="F13" s="5" t="str">
        <f>'Both Shifts'!F13</f>
        <v/>
      </c>
      <c r="G13" s="5" t="str">
        <f>'Both Shifts'!G13</f>
        <v/>
      </c>
      <c r="H13" s="5" t="str">
        <f>'Both Shifts'!H13</f>
        <v/>
      </c>
      <c r="I13" s="6" t="str">
        <f>'Both Shifts'!I13</f>
        <v/>
      </c>
      <c r="J13" s="7" t="str">
        <f>'Both Shifts'!J13</f>
        <v/>
      </c>
      <c r="K13" s="7" t="str">
        <f>'Both Shifts'!K13</f>
        <v/>
      </c>
      <c r="L13" s="8" t="str">
        <f>'Both Shifts'!L13</f>
        <v/>
      </c>
      <c r="M13" s="8" t="str">
        <f>'Both Shifts'!M13</f>
        <v/>
      </c>
      <c r="N13" s="64" t="str">
        <f>'Both Shifts'!N13</f>
        <v/>
      </c>
      <c r="O13" s="64" t="str">
        <f>'Both Shifts'!O13</f>
        <v/>
      </c>
      <c r="P13" s="64" t="str">
        <f>'Both Shifts'!P13</f>
        <v/>
      </c>
      <c r="Q13" s="64" t="str">
        <f>'Both Shifts'!Q13</f>
        <v/>
      </c>
      <c r="R13" s="64" t="str">
        <f>'Both Shifts'!R13</f>
        <v/>
      </c>
      <c r="S13" s="64" t="str">
        <f>'Both Shifts'!S13</f>
        <v/>
      </c>
      <c r="T13" s="64" t="str">
        <f>'Both Shifts'!T13</f>
        <v/>
      </c>
      <c r="U13" s="64" t="str">
        <f>'Both Shifts'!U13</f>
        <v/>
      </c>
      <c r="V13" s="64" t="str">
        <f>'Both Shifts'!V13</f>
        <v/>
      </c>
      <c r="W13" s="64" t="str">
        <f>'Both Shifts'!W13</f>
        <v/>
      </c>
      <c r="X13" s="64" t="str">
        <f>'Both Shifts'!X13</f>
        <v/>
      </c>
      <c r="Y13" s="65" t="str">
        <f>'Both Shifts'!Y13</f>
        <v/>
      </c>
      <c r="Z13" s="8" t="str">
        <f>'Both Shifts'!Z13</f>
        <v/>
      </c>
      <c r="AA13" s="8" t="str">
        <f>'Both Shifts'!AA13</f>
        <v/>
      </c>
      <c r="AB13" s="23"/>
      <c r="AC13" s="8"/>
      <c r="AD13" s="8"/>
      <c r="AE13" s="8" t="str">
        <f t="shared" si="0"/>
        <v>TRUE</v>
      </c>
      <c r="AF13" s="1"/>
    </row>
    <row r="14" spans="1:32" x14ac:dyDescent="0.25">
      <c r="A14" s="1"/>
      <c r="B14" s="1"/>
      <c r="C14" s="1"/>
      <c r="D14" s="5" t="str">
        <f t="shared" si="2"/>
        <v>B        FS03</v>
      </c>
      <c r="E14" s="5" t="str">
        <f>'Both Shifts'!E14</f>
        <v xml:space="preserve">        FS03</v>
      </c>
      <c r="F14" s="5" t="str">
        <f>'Both Shifts'!F14</f>
        <v/>
      </c>
      <c r="G14" s="5" t="str">
        <f>'Both Shifts'!G14</f>
        <v/>
      </c>
      <c r="H14" s="5" t="str">
        <f>'Both Shifts'!H14</f>
        <v/>
      </c>
      <c r="I14" s="6" t="str">
        <f>'Both Shifts'!I14</f>
        <v/>
      </c>
      <c r="J14" s="7" t="str">
        <f>'Both Shifts'!J14</f>
        <v/>
      </c>
      <c r="K14" s="7" t="str">
        <f>'Both Shifts'!K14</f>
        <v/>
      </c>
      <c r="L14" s="8" t="str">
        <f>'Both Shifts'!L14</f>
        <v/>
      </c>
      <c r="M14" s="8" t="str">
        <f>'Both Shifts'!M14</f>
        <v/>
      </c>
      <c r="N14" s="64" t="str">
        <f>'Both Shifts'!N14</f>
        <v/>
      </c>
      <c r="O14" s="64" t="str">
        <f>'Both Shifts'!O14</f>
        <v/>
      </c>
      <c r="P14" s="64" t="str">
        <f>'Both Shifts'!P14</f>
        <v/>
      </c>
      <c r="Q14" s="64" t="str">
        <f>'Both Shifts'!Q14</f>
        <v/>
      </c>
      <c r="R14" s="64" t="str">
        <f>'Both Shifts'!R14</f>
        <v/>
      </c>
      <c r="S14" s="64" t="str">
        <f>'Both Shifts'!S14</f>
        <v/>
      </c>
      <c r="T14" s="64" t="str">
        <f>'Both Shifts'!T14</f>
        <v/>
      </c>
      <c r="U14" s="64" t="str">
        <f>'Both Shifts'!U14</f>
        <v/>
      </c>
      <c r="V14" s="64" t="str">
        <f>'Both Shifts'!V14</f>
        <v/>
      </c>
      <c r="W14" s="64" t="str">
        <f>'Both Shifts'!W14</f>
        <v/>
      </c>
      <c r="X14" s="64" t="str">
        <f>'Both Shifts'!X14</f>
        <v/>
      </c>
      <c r="Y14" s="65" t="str">
        <f>'Both Shifts'!Y14</f>
        <v/>
      </c>
      <c r="Z14" s="8" t="str">
        <f>'Both Shifts'!Z14</f>
        <v/>
      </c>
      <c r="AA14" s="8" t="str">
        <f>'Both Shifts'!AA14</f>
        <v/>
      </c>
      <c r="AB14" s="23"/>
      <c r="AC14" s="8"/>
      <c r="AD14" s="8"/>
      <c r="AE14" s="8" t="str">
        <f t="shared" si="0"/>
        <v>TRUE</v>
      </c>
      <c r="AF14" s="1"/>
    </row>
    <row r="15" spans="1:32" x14ac:dyDescent="0.25">
      <c r="A15" s="1"/>
      <c r="B15" s="1"/>
      <c r="C15" s="1"/>
      <c r="D15" s="12"/>
      <c r="E15" s="12"/>
      <c r="F15" s="62">
        <f>IF(F12="","",0)</f>
        <v>0</v>
      </c>
      <c r="G15" s="13"/>
      <c r="H15" s="34" t="str">
        <f>$F$5</f>
        <v>B</v>
      </c>
      <c r="I15" s="34" t="str">
        <f>$F$5&amp;J15</f>
        <v>B        FS03</v>
      </c>
      <c r="J15" s="67" t="str">
        <f>F11</f>
        <v xml:space="preserve">        FS03</v>
      </c>
      <c r="K15" s="67"/>
      <c r="L15" s="67" t="s">
        <v>19</v>
      </c>
      <c r="M15" s="67"/>
      <c r="N15" s="42">
        <f>SUMIF($D:$D,$I15,N:N)</f>
        <v>486</v>
      </c>
      <c r="O15" s="42">
        <f>SUMIF($D:$D,$I15,O:O)</f>
        <v>1915.83</v>
      </c>
      <c r="P15" s="42">
        <f>SUMIF($D:$D,$I15,P:P)</f>
        <v>720</v>
      </c>
      <c r="Q15" s="42">
        <f>SUMIF($D:$D,$I15,Q:Q)</f>
        <v>105</v>
      </c>
      <c r="R15" s="42">
        <f>SUMIF($D:$D,$I15,R:R)</f>
        <v>0</v>
      </c>
      <c r="S15" s="42">
        <f>SUMIF($D:$D,$I15,S:S)</f>
        <v>0</v>
      </c>
      <c r="T15" s="42">
        <f>SUMIF($D:$D,$I15,T:T)</f>
        <v>10</v>
      </c>
      <c r="U15" s="42"/>
      <c r="V15" s="42">
        <f>SUMIF($D:$D,$I15,V:V)</f>
        <v>0</v>
      </c>
      <c r="W15" s="42">
        <f>SUMIF($D:$D,$I15,W:W)</f>
        <v>10</v>
      </c>
      <c r="X15" s="42">
        <f>SUMIF($D:$D,$I15,X:X)</f>
        <v>605</v>
      </c>
      <c r="Y15" s="26"/>
      <c r="Z15" s="26"/>
      <c r="AA15" s="27">
        <f>N15/O15*100</f>
        <v>25.367595245924747</v>
      </c>
      <c r="AB15" s="35"/>
      <c r="AC15" s="26"/>
      <c r="AD15" s="27"/>
      <c r="AE15" s="27" t="b">
        <f t="shared" si="0"/>
        <v>0</v>
      </c>
      <c r="AF15" s="1"/>
    </row>
    <row r="16" spans="1:32" x14ac:dyDescent="0.25">
      <c r="A16" s="1"/>
      <c r="B16" s="1"/>
      <c r="C16" s="1"/>
      <c r="D16" s="14"/>
      <c r="E16" s="14" t="s">
        <v>22</v>
      </c>
      <c r="F16" s="15" t="s">
        <v>25</v>
      </c>
      <c r="G16" s="16" t="s">
        <v>26</v>
      </c>
      <c r="H16" s="54">
        <f>IF(H17="","DNR",0)</f>
        <v>0</v>
      </c>
      <c r="I16" s="53">
        <v>0</v>
      </c>
      <c r="J16" s="54">
        <v>0</v>
      </c>
      <c r="K16" s="54">
        <v>0</v>
      </c>
      <c r="L16" s="54">
        <v>0</v>
      </c>
      <c r="M16" s="54">
        <v>0</v>
      </c>
      <c r="N16" s="54">
        <f>IF(F17="","DNR",0)</f>
        <v>0</v>
      </c>
      <c r="O16" s="54">
        <v>0</v>
      </c>
      <c r="P16" s="54">
        <v>0</v>
      </c>
      <c r="Q16" s="54">
        <v>0</v>
      </c>
      <c r="R16" s="54">
        <v>0</v>
      </c>
      <c r="S16" s="54">
        <v>0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5">
        <v>0</v>
      </c>
      <c r="AB16" s="16"/>
      <c r="AC16" s="16"/>
      <c r="AD16" s="17"/>
      <c r="AE16" s="17" t="b">
        <f t="shared" si="0"/>
        <v>0</v>
      </c>
      <c r="AF16" s="1"/>
    </row>
    <row r="17" spans="1:32" x14ac:dyDescent="0.25">
      <c r="A17" s="1"/>
      <c r="B17" s="1"/>
      <c r="C17" s="1"/>
      <c r="D17" s="5" t="str">
        <f>$F$5&amp;E17</f>
        <v>B        FS04</v>
      </c>
      <c r="E17" s="5" t="str">
        <f>'Both Shifts'!E17</f>
        <v xml:space="preserve">        FS04</v>
      </c>
      <c r="F17" s="5">
        <f>'Both Shifts'!F17</f>
        <v>30005034</v>
      </c>
      <c r="G17" s="5" t="str">
        <f>'Both Shifts'!G17</f>
        <v>SEAG GIN 80P 24/375 FSK ND US</v>
      </c>
      <c r="H17" s="5">
        <f>'Both Shifts'!H17</f>
        <v>408999</v>
      </c>
      <c r="I17" s="6">
        <f>'Both Shifts'!I17</f>
        <v>44901</v>
      </c>
      <c r="J17" s="7">
        <f>'Both Shifts'!J17</f>
        <v>0.20833333333333334</v>
      </c>
      <c r="K17" s="7">
        <f>'Both Shifts'!K17</f>
        <v>0.64583333333333337</v>
      </c>
      <c r="L17" s="8">
        <f>'Both Shifts'!L17</f>
        <v>8</v>
      </c>
      <c r="M17" s="8">
        <f>'Both Shifts'!M17</f>
        <v>6</v>
      </c>
      <c r="N17" s="64">
        <f>'Both Shifts'!N17</f>
        <v>1990</v>
      </c>
      <c r="O17" s="64">
        <f>'Both Shifts'!O17</f>
        <v>5127.08</v>
      </c>
      <c r="P17" s="64">
        <f>'Both Shifts'!P17</f>
        <v>630</v>
      </c>
      <c r="Q17" s="64">
        <f>'Both Shifts'!Q17</f>
        <v>80</v>
      </c>
      <c r="R17" s="64">
        <f>'Both Shifts'!R17</f>
        <v>0</v>
      </c>
      <c r="S17" s="64">
        <f>'Both Shifts'!S17</f>
        <v>0</v>
      </c>
      <c r="T17" s="64">
        <f>'Both Shifts'!T17</f>
        <v>15</v>
      </c>
      <c r="U17" s="64">
        <f>'Both Shifts'!U17</f>
        <v>0</v>
      </c>
      <c r="V17" s="64">
        <f>'Both Shifts'!V17</f>
        <v>0</v>
      </c>
      <c r="W17" s="64">
        <f>'Both Shifts'!W17</f>
        <v>12</v>
      </c>
      <c r="X17" s="64">
        <f>'Both Shifts'!X17</f>
        <v>535</v>
      </c>
      <c r="Y17" s="65">
        <f>'Both Shifts'!Y17</f>
        <v>230</v>
      </c>
      <c r="Z17" s="8" t="str">
        <f>'Both Shifts'!Z17</f>
        <v/>
      </c>
      <c r="AA17" s="8">
        <f>'Both Shifts'!AA17</f>
        <v>38.81</v>
      </c>
      <c r="AB17" s="23"/>
      <c r="AC17" s="8"/>
      <c r="AD17" s="8"/>
      <c r="AE17" s="8" t="b">
        <f t="shared" si="0"/>
        <v>0</v>
      </c>
      <c r="AF17" s="1"/>
    </row>
    <row r="18" spans="1:32" x14ac:dyDescent="0.25">
      <c r="A18" s="1"/>
      <c r="B18" s="1"/>
      <c r="C18" s="1"/>
      <c r="D18" s="5" t="str">
        <f t="shared" ref="D18:D19" si="3">$F$5&amp;E18</f>
        <v>B        FS04</v>
      </c>
      <c r="E18" s="5" t="str">
        <f>'Both Shifts'!E18</f>
        <v xml:space="preserve">        FS04</v>
      </c>
      <c r="F18" s="5" t="str">
        <f>'Both Shifts'!F18</f>
        <v/>
      </c>
      <c r="G18" s="5" t="str">
        <f>'Both Shifts'!G18</f>
        <v/>
      </c>
      <c r="H18" s="5" t="str">
        <f>'Both Shifts'!H18</f>
        <v/>
      </c>
      <c r="I18" s="6" t="str">
        <f>'Both Shifts'!I18</f>
        <v/>
      </c>
      <c r="J18" s="7" t="str">
        <f>'Both Shifts'!J18</f>
        <v/>
      </c>
      <c r="K18" s="7" t="str">
        <f>'Both Shifts'!K18</f>
        <v/>
      </c>
      <c r="L18" s="8" t="str">
        <f>'Both Shifts'!L18</f>
        <v/>
      </c>
      <c r="M18" s="8" t="str">
        <f>'Both Shifts'!M18</f>
        <v/>
      </c>
      <c r="N18" s="64" t="str">
        <f>'Both Shifts'!N18</f>
        <v/>
      </c>
      <c r="O18" s="64" t="str">
        <f>'Both Shifts'!O18</f>
        <v/>
      </c>
      <c r="P18" s="64" t="str">
        <f>'Both Shifts'!P18</f>
        <v/>
      </c>
      <c r="Q18" s="64" t="str">
        <f>'Both Shifts'!Q18</f>
        <v/>
      </c>
      <c r="R18" s="64" t="str">
        <f>'Both Shifts'!R18</f>
        <v/>
      </c>
      <c r="S18" s="64" t="str">
        <f>'Both Shifts'!S18</f>
        <v/>
      </c>
      <c r="T18" s="64" t="str">
        <f>'Both Shifts'!T18</f>
        <v/>
      </c>
      <c r="U18" s="64" t="str">
        <f>'Both Shifts'!U18</f>
        <v/>
      </c>
      <c r="V18" s="64" t="str">
        <f>'Both Shifts'!V18</f>
        <v/>
      </c>
      <c r="W18" s="64" t="str">
        <f>'Both Shifts'!W18</f>
        <v/>
      </c>
      <c r="X18" s="64" t="str">
        <f>'Both Shifts'!X18</f>
        <v/>
      </c>
      <c r="Y18" s="65" t="str">
        <f>'Both Shifts'!Y18</f>
        <v/>
      </c>
      <c r="Z18" s="8" t="str">
        <f>'Both Shifts'!Z18</f>
        <v/>
      </c>
      <c r="AA18" s="8" t="str">
        <f>'Both Shifts'!AA18</f>
        <v/>
      </c>
      <c r="AB18" s="23"/>
      <c r="AC18" s="8"/>
      <c r="AD18" s="8"/>
      <c r="AE18" s="8" t="str">
        <f t="shared" si="0"/>
        <v>TRUE</v>
      </c>
      <c r="AF18" s="1"/>
    </row>
    <row r="19" spans="1:32" x14ac:dyDescent="0.25">
      <c r="A19" s="1"/>
      <c r="B19" s="1"/>
      <c r="C19" s="1"/>
      <c r="D19" s="5" t="str">
        <f t="shared" si="3"/>
        <v>B        FS04</v>
      </c>
      <c r="E19" s="5" t="str">
        <f>'Both Shifts'!E19</f>
        <v xml:space="preserve">        FS04</v>
      </c>
      <c r="F19" s="5" t="str">
        <f>'Both Shifts'!F19</f>
        <v/>
      </c>
      <c r="G19" s="5" t="str">
        <f>'Both Shifts'!G19</f>
        <v/>
      </c>
      <c r="H19" s="5" t="str">
        <f>'Both Shifts'!H19</f>
        <v/>
      </c>
      <c r="I19" s="6" t="str">
        <f>'Both Shifts'!I19</f>
        <v/>
      </c>
      <c r="J19" s="7" t="str">
        <f>'Both Shifts'!J19</f>
        <v/>
      </c>
      <c r="K19" s="7" t="str">
        <f>'Both Shifts'!K19</f>
        <v/>
      </c>
      <c r="L19" s="8" t="str">
        <f>'Both Shifts'!L19</f>
        <v/>
      </c>
      <c r="M19" s="8" t="str">
        <f>'Both Shifts'!M19</f>
        <v/>
      </c>
      <c r="N19" s="64" t="str">
        <f>'Both Shifts'!N19</f>
        <v/>
      </c>
      <c r="O19" s="64" t="str">
        <f>'Both Shifts'!O19</f>
        <v/>
      </c>
      <c r="P19" s="64" t="str">
        <f>'Both Shifts'!P19</f>
        <v/>
      </c>
      <c r="Q19" s="64" t="str">
        <f>'Both Shifts'!Q19</f>
        <v/>
      </c>
      <c r="R19" s="64" t="str">
        <f>'Both Shifts'!R19</f>
        <v/>
      </c>
      <c r="S19" s="64" t="str">
        <f>'Both Shifts'!S19</f>
        <v/>
      </c>
      <c r="T19" s="64" t="str">
        <f>'Both Shifts'!T19</f>
        <v/>
      </c>
      <c r="U19" s="64" t="str">
        <f>'Both Shifts'!U19</f>
        <v/>
      </c>
      <c r="V19" s="64" t="str">
        <f>'Both Shifts'!V19</f>
        <v/>
      </c>
      <c r="W19" s="64" t="str">
        <f>'Both Shifts'!W19</f>
        <v/>
      </c>
      <c r="X19" s="64" t="str">
        <f>'Both Shifts'!X19</f>
        <v/>
      </c>
      <c r="Y19" s="65" t="str">
        <f>'Both Shifts'!Y19</f>
        <v/>
      </c>
      <c r="Z19" s="8" t="str">
        <f>'Both Shifts'!Z19</f>
        <v/>
      </c>
      <c r="AA19" s="8" t="str">
        <f>'Both Shifts'!AA19</f>
        <v/>
      </c>
      <c r="AB19" s="23"/>
      <c r="AC19" s="8"/>
      <c r="AD19" s="8"/>
      <c r="AE19" s="8" t="str">
        <f t="shared" si="0"/>
        <v>TRUE</v>
      </c>
      <c r="AF19" s="1"/>
    </row>
    <row r="20" spans="1:32" x14ac:dyDescent="0.25">
      <c r="A20" s="1"/>
      <c r="B20" s="1"/>
      <c r="C20" s="1"/>
      <c r="D20" s="12"/>
      <c r="E20" s="12"/>
      <c r="F20" s="62">
        <f>IF(F17="","",0)</f>
        <v>0</v>
      </c>
      <c r="G20" s="13"/>
      <c r="H20" s="34" t="str">
        <f>$F$5</f>
        <v>B</v>
      </c>
      <c r="I20" s="34" t="str">
        <f>$F$5&amp;J20</f>
        <v>B        FS04</v>
      </c>
      <c r="J20" s="67" t="str">
        <f>F16</f>
        <v xml:space="preserve">        FS04</v>
      </c>
      <c r="K20" s="67"/>
      <c r="L20" s="67" t="s">
        <v>19</v>
      </c>
      <c r="M20" s="67"/>
      <c r="N20" s="42">
        <f>SUMIF($D:$D,$I20,N:N)</f>
        <v>1990</v>
      </c>
      <c r="O20" s="42">
        <f>SUMIF($D:$D,$I20,O:O)</f>
        <v>5127.08</v>
      </c>
      <c r="P20" s="42">
        <f>SUMIF($D:$D,$I20,P:P)</f>
        <v>630</v>
      </c>
      <c r="Q20" s="42">
        <f>SUMIF($D:$D,$I20,Q:Q)</f>
        <v>80</v>
      </c>
      <c r="R20" s="42">
        <f>SUMIF($D:$D,$I20,R:R)</f>
        <v>0</v>
      </c>
      <c r="S20" s="42">
        <f>SUMIF($D:$D,$I20,S:S)</f>
        <v>0</v>
      </c>
      <c r="T20" s="42">
        <f>SUMIF($D:$D,$I20,T:T)</f>
        <v>15</v>
      </c>
      <c r="U20" s="42"/>
      <c r="V20" s="42">
        <f>SUMIF($D:$D,$I20,V:V)</f>
        <v>0</v>
      </c>
      <c r="W20" s="42">
        <f>SUMIF($D:$D,$I20,W:W)</f>
        <v>12</v>
      </c>
      <c r="X20" s="42">
        <f>SUMIF($D:$D,$I20,X:X)</f>
        <v>535</v>
      </c>
      <c r="Y20" s="26"/>
      <c r="Z20" s="26"/>
      <c r="AA20" s="27">
        <f>N20/O20*100</f>
        <v>38.813515685341365</v>
      </c>
      <c r="AB20" s="35"/>
      <c r="AC20" s="26"/>
      <c r="AD20" s="27"/>
      <c r="AE20" s="27" t="b">
        <f t="shared" si="0"/>
        <v>0</v>
      </c>
      <c r="AF20" s="1"/>
    </row>
    <row r="21" spans="1:32" x14ac:dyDescent="0.25">
      <c r="A21" s="1"/>
      <c r="B21" s="1"/>
      <c r="C21" s="1"/>
      <c r="D21" s="14"/>
      <c r="E21" s="14" t="s">
        <v>22</v>
      </c>
      <c r="F21" s="15" t="s">
        <v>27</v>
      </c>
      <c r="G21" s="16" t="s">
        <v>28</v>
      </c>
      <c r="H21" s="54">
        <f>IF(H22="","DNR",0)</f>
        <v>0</v>
      </c>
      <c r="I21" s="53">
        <v>0</v>
      </c>
      <c r="J21" s="54">
        <v>0</v>
      </c>
      <c r="K21" s="54">
        <v>0</v>
      </c>
      <c r="L21" s="54">
        <v>0</v>
      </c>
      <c r="M21" s="54">
        <v>0</v>
      </c>
      <c r="N21" s="54">
        <f>IF(F22="","DNR",0)</f>
        <v>0</v>
      </c>
      <c r="O21" s="54">
        <v>0</v>
      </c>
      <c r="P21" s="54">
        <v>0</v>
      </c>
      <c r="Q21" s="54">
        <v>0</v>
      </c>
      <c r="R21" s="54">
        <v>0</v>
      </c>
      <c r="S21" s="54">
        <v>0</v>
      </c>
      <c r="T21" s="54">
        <v>0</v>
      </c>
      <c r="U21" s="54">
        <v>0</v>
      </c>
      <c r="V21" s="54">
        <v>0</v>
      </c>
      <c r="W21" s="54">
        <v>0</v>
      </c>
      <c r="X21" s="54">
        <v>0</v>
      </c>
      <c r="Y21" s="54">
        <v>0</v>
      </c>
      <c r="Z21" s="54">
        <v>0</v>
      </c>
      <c r="AA21" s="55">
        <v>0</v>
      </c>
      <c r="AB21" s="16"/>
      <c r="AC21" s="16"/>
      <c r="AD21" s="17"/>
      <c r="AE21" s="17" t="b">
        <f t="shared" si="0"/>
        <v>0</v>
      </c>
      <c r="AF21" s="1"/>
    </row>
    <row r="22" spans="1:32" x14ac:dyDescent="0.25">
      <c r="A22" s="1"/>
      <c r="B22" s="1"/>
      <c r="C22" s="1"/>
      <c r="D22" s="5" t="str">
        <f t="shared" ref="D22:D24" si="4">$F$5&amp;E22</f>
        <v>B        FS05</v>
      </c>
      <c r="E22" s="5" t="str">
        <f>'Both Shifts'!E22</f>
        <v xml:space="preserve">        FS05</v>
      </c>
      <c r="F22" s="5">
        <f>'Both Shifts'!F22</f>
        <v>30001034</v>
      </c>
      <c r="G22" s="5" t="str">
        <f>'Both Shifts'!G22</f>
        <v>SEAG GIN 80P 48/100 FSK ND US</v>
      </c>
      <c r="H22" s="5">
        <f>'Both Shifts'!H22</f>
        <v>409371</v>
      </c>
      <c r="I22" s="6">
        <f>'Both Shifts'!I22</f>
        <v>44901</v>
      </c>
      <c r="J22" s="7">
        <f>'Both Shifts'!J22</f>
        <v>0.20833333333333334</v>
      </c>
      <c r="K22" s="7">
        <f>'Both Shifts'!K22</f>
        <v>0.64583333333333337</v>
      </c>
      <c r="L22" s="8">
        <f>'Both Shifts'!L22</f>
        <v>7</v>
      </c>
      <c r="M22" s="8">
        <f>'Both Shifts'!M22</f>
        <v>6</v>
      </c>
      <c r="N22" s="64">
        <f>'Both Shifts'!N22</f>
        <v>972</v>
      </c>
      <c r="O22" s="64">
        <f>'Both Shifts'!O22</f>
        <v>2682.29</v>
      </c>
      <c r="P22" s="64">
        <f>'Both Shifts'!P22</f>
        <v>630</v>
      </c>
      <c r="Q22" s="64">
        <f>'Both Shifts'!Q22</f>
        <v>85</v>
      </c>
      <c r="R22" s="64">
        <f>'Both Shifts'!R22</f>
        <v>0</v>
      </c>
      <c r="S22" s="64">
        <f>'Both Shifts'!S22</f>
        <v>0</v>
      </c>
      <c r="T22" s="64">
        <f>'Both Shifts'!T22</f>
        <v>30</v>
      </c>
      <c r="U22" s="64">
        <f>'Both Shifts'!U22</f>
        <v>0</v>
      </c>
      <c r="V22" s="64">
        <f>'Both Shifts'!V22</f>
        <v>0</v>
      </c>
      <c r="W22" s="64">
        <f>'Both Shifts'!W22</f>
        <v>12</v>
      </c>
      <c r="X22" s="64">
        <f>'Both Shifts'!X22</f>
        <v>515</v>
      </c>
      <c r="Y22" s="65">
        <f>'Both Shifts'!Y22</f>
        <v>250</v>
      </c>
      <c r="Z22" s="8" t="str">
        <f>'Both Shifts'!Z22</f>
        <v/>
      </c>
      <c r="AA22" s="8">
        <f>'Both Shifts'!AA22</f>
        <v>36.24</v>
      </c>
      <c r="AB22" s="23"/>
      <c r="AC22" s="8"/>
      <c r="AD22" s="8"/>
      <c r="AE22" s="8" t="b">
        <f t="shared" si="0"/>
        <v>0</v>
      </c>
      <c r="AF22" s="1"/>
    </row>
    <row r="23" spans="1:32" x14ac:dyDescent="0.25">
      <c r="A23" s="1"/>
      <c r="B23" s="1"/>
      <c r="C23" s="1"/>
      <c r="D23" s="5" t="str">
        <f t="shared" si="4"/>
        <v>B        FS05</v>
      </c>
      <c r="E23" s="5" t="str">
        <f>'Both Shifts'!E23</f>
        <v xml:space="preserve">        FS05</v>
      </c>
      <c r="F23" s="5" t="str">
        <f>'Both Shifts'!F23</f>
        <v/>
      </c>
      <c r="G23" s="5" t="str">
        <f>'Both Shifts'!G23</f>
        <v/>
      </c>
      <c r="H23" s="5" t="str">
        <f>'Both Shifts'!H23</f>
        <v/>
      </c>
      <c r="I23" s="6" t="str">
        <f>'Both Shifts'!I23</f>
        <v/>
      </c>
      <c r="J23" s="7" t="str">
        <f>'Both Shifts'!J23</f>
        <v/>
      </c>
      <c r="K23" s="7" t="str">
        <f>'Both Shifts'!K23</f>
        <v/>
      </c>
      <c r="L23" s="8" t="str">
        <f>'Both Shifts'!L23</f>
        <v/>
      </c>
      <c r="M23" s="8" t="str">
        <f>'Both Shifts'!M23</f>
        <v/>
      </c>
      <c r="N23" s="64" t="str">
        <f>'Both Shifts'!N23</f>
        <v/>
      </c>
      <c r="O23" s="64" t="str">
        <f>'Both Shifts'!O23</f>
        <v/>
      </c>
      <c r="P23" s="64" t="str">
        <f>'Both Shifts'!P23</f>
        <v/>
      </c>
      <c r="Q23" s="64" t="str">
        <f>'Both Shifts'!Q23</f>
        <v/>
      </c>
      <c r="R23" s="64" t="str">
        <f>'Both Shifts'!R23</f>
        <v/>
      </c>
      <c r="S23" s="64" t="str">
        <f>'Both Shifts'!S23</f>
        <v/>
      </c>
      <c r="T23" s="64" t="str">
        <f>'Both Shifts'!T23</f>
        <v/>
      </c>
      <c r="U23" s="64" t="str">
        <f>'Both Shifts'!U23</f>
        <v/>
      </c>
      <c r="V23" s="64" t="str">
        <f>'Both Shifts'!V23</f>
        <v/>
      </c>
      <c r="W23" s="64" t="str">
        <f>'Both Shifts'!W23</f>
        <v/>
      </c>
      <c r="X23" s="64" t="str">
        <f>'Both Shifts'!X23</f>
        <v/>
      </c>
      <c r="Y23" s="65" t="str">
        <f>'Both Shifts'!Y23</f>
        <v/>
      </c>
      <c r="Z23" s="8" t="str">
        <f>'Both Shifts'!Z23</f>
        <v/>
      </c>
      <c r="AA23" s="8" t="str">
        <f>'Both Shifts'!AA23</f>
        <v/>
      </c>
      <c r="AB23" s="23"/>
      <c r="AC23" s="8"/>
      <c r="AD23" s="8"/>
      <c r="AE23" s="8" t="str">
        <f t="shared" si="0"/>
        <v>TRUE</v>
      </c>
      <c r="AF23" s="1"/>
    </row>
    <row r="24" spans="1:32" x14ac:dyDescent="0.25">
      <c r="A24" s="1"/>
      <c r="B24" s="1"/>
      <c r="C24" s="1"/>
      <c r="D24" s="5" t="str">
        <f t="shared" si="4"/>
        <v>B        FS05</v>
      </c>
      <c r="E24" s="5" t="str">
        <f>'Both Shifts'!E24</f>
        <v xml:space="preserve">        FS05</v>
      </c>
      <c r="F24" s="5" t="str">
        <f>'Both Shifts'!F24</f>
        <v/>
      </c>
      <c r="G24" s="5" t="str">
        <f>'Both Shifts'!G24</f>
        <v/>
      </c>
      <c r="H24" s="5" t="str">
        <f>'Both Shifts'!H24</f>
        <v/>
      </c>
      <c r="I24" s="6" t="str">
        <f>'Both Shifts'!I24</f>
        <v/>
      </c>
      <c r="J24" s="7" t="str">
        <f>'Both Shifts'!J24</f>
        <v/>
      </c>
      <c r="K24" s="7" t="str">
        <f>'Both Shifts'!K24</f>
        <v/>
      </c>
      <c r="L24" s="8" t="str">
        <f>'Both Shifts'!L24</f>
        <v/>
      </c>
      <c r="M24" s="8" t="str">
        <f>'Both Shifts'!M24</f>
        <v/>
      </c>
      <c r="N24" s="64" t="str">
        <f>'Both Shifts'!N24</f>
        <v/>
      </c>
      <c r="O24" s="64" t="str">
        <f>'Both Shifts'!O24</f>
        <v/>
      </c>
      <c r="P24" s="64" t="str">
        <f>'Both Shifts'!P24</f>
        <v/>
      </c>
      <c r="Q24" s="64" t="str">
        <f>'Both Shifts'!Q24</f>
        <v/>
      </c>
      <c r="R24" s="64" t="str">
        <f>'Both Shifts'!R24</f>
        <v/>
      </c>
      <c r="S24" s="64" t="str">
        <f>'Both Shifts'!S24</f>
        <v/>
      </c>
      <c r="T24" s="64" t="str">
        <f>'Both Shifts'!T24</f>
        <v/>
      </c>
      <c r="U24" s="64" t="str">
        <f>'Both Shifts'!U24</f>
        <v/>
      </c>
      <c r="V24" s="64" t="str">
        <f>'Both Shifts'!V24</f>
        <v/>
      </c>
      <c r="W24" s="64" t="str">
        <f>'Both Shifts'!W24</f>
        <v/>
      </c>
      <c r="X24" s="64" t="str">
        <f>'Both Shifts'!X24</f>
        <v/>
      </c>
      <c r="Y24" s="65" t="str">
        <f>'Both Shifts'!Y24</f>
        <v/>
      </c>
      <c r="Z24" s="8" t="str">
        <f>'Both Shifts'!Z24</f>
        <v/>
      </c>
      <c r="AA24" s="8" t="str">
        <f>'Both Shifts'!AA24</f>
        <v/>
      </c>
      <c r="AB24" s="23"/>
      <c r="AC24" s="8"/>
      <c r="AD24" s="8"/>
      <c r="AE24" s="8" t="str">
        <f t="shared" si="0"/>
        <v>TRUE</v>
      </c>
      <c r="AF24" s="1"/>
    </row>
    <row r="25" spans="1:32" x14ac:dyDescent="0.25">
      <c r="A25" s="1"/>
      <c r="B25" s="1"/>
      <c r="C25" s="1"/>
      <c r="D25" s="12"/>
      <c r="E25" s="12"/>
      <c r="F25" s="62">
        <f>IF(F22="","",0)</f>
        <v>0</v>
      </c>
      <c r="G25" s="13"/>
      <c r="H25" s="34" t="str">
        <f>$F$5</f>
        <v>B</v>
      </c>
      <c r="I25" s="34" t="str">
        <f>$F$5&amp;J25</f>
        <v>B        FS05</v>
      </c>
      <c r="J25" s="67" t="str">
        <f>F21</f>
        <v xml:space="preserve">        FS05</v>
      </c>
      <c r="K25" s="67"/>
      <c r="L25" s="67" t="s">
        <v>19</v>
      </c>
      <c r="M25" s="67"/>
      <c r="N25" s="42">
        <f>SUMIF($D:$D,$I25,N:N)</f>
        <v>972</v>
      </c>
      <c r="O25" s="42">
        <f>SUMIF($D:$D,$I25,O:O)</f>
        <v>2682.29</v>
      </c>
      <c r="P25" s="42">
        <f>SUMIF($D:$D,$I25,P:P)</f>
        <v>630</v>
      </c>
      <c r="Q25" s="42">
        <f>SUMIF($D:$D,$I25,Q:Q)</f>
        <v>85</v>
      </c>
      <c r="R25" s="42">
        <f>SUMIF($D:$D,$I25,R:R)</f>
        <v>0</v>
      </c>
      <c r="S25" s="42">
        <f>SUMIF($D:$D,$I25,S:S)</f>
        <v>0</v>
      </c>
      <c r="T25" s="42">
        <f>SUMIF($D:$D,$I25,T:T)</f>
        <v>30</v>
      </c>
      <c r="U25" s="42"/>
      <c r="V25" s="42">
        <f>SUMIF($D:$D,$I25,V:V)</f>
        <v>0</v>
      </c>
      <c r="W25" s="42">
        <f>SUMIF($D:$D,$I25,W:W)</f>
        <v>12</v>
      </c>
      <c r="X25" s="42">
        <f>SUMIF($D:$D,$I25,X:X)</f>
        <v>515</v>
      </c>
      <c r="Y25" s="26"/>
      <c r="Z25" s="26"/>
      <c r="AA25" s="27">
        <f>N25/O25*100</f>
        <v>36.237692419537041</v>
      </c>
      <c r="AB25" s="35"/>
      <c r="AC25" s="26"/>
      <c r="AD25" s="27"/>
      <c r="AE25" s="27" t="b">
        <f t="shared" si="0"/>
        <v>0</v>
      </c>
      <c r="AF25" s="1"/>
    </row>
    <row r="26" spans="1:32" x14ac:dyDescent="0.25">
      <c r="A26" s="1"/>
      <c r="B26" s="1"/>
      <c r="C26" s="1"/>
      <c r="D26" s="14"/>
      <c r="E26" s="14" t="s">
        <v>22</v>
      </c>
      <c r="F26" s="15" t="s">
        <v>29</v>
      </c>
      <c r="G26" s="16" t="s">
        <v>30</v>
      </c>
      <c r="H26" s="54" t="str">
        <f>IF(H27="","DNR",0)</f>
        <v>DNR</v>
      </c>
      <c r="I26" s="53">
        <v>0</v>
      </c>
      <c r="J26" s="54">
        <v>0</v>
      </c>
      <c r="K26" s="54">
        <v>0</v>
      </c>
      <c r="L26" s="54">
        <v>0</v>
      </c>
      <c r="M26" s="54">
        <v>0</v>
      </c>
      <c r="N26" s="54" t="str">
        <f>IF(F27="","DNR",0)</f>
        <v>DNR</v>
      </c>
      <c r="O26" s="54">
        <v>0</v>
      </c>
      <c r="P26" s="54">
        <v>0</v>
      </c>
      <c r="Q26" s="54">
        <v>0</v>
      </c>
      <c r="R26" s="54">
        <v>0</v>
      </c>
      <c r="S26" s="54">
        <v>0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5">
        <v>0</v>
      </c>
      <c r="AB26" s="16"/>
      <c r="AC26" s="16"/>
      <c r="AD26" s="17"/>
      <c r="AE26" s="17" t="str">
        <f t="shared" si="0"/>
        <v>TRUE</v>
      </c>
      <c r="AF26" s="1"/>
    </row>
    <row r="27" spans="1:32" x14ac:dyDescent="0.25">
      <c r="A27" s="1"/>
      <c r="B27" s="1"/>
      <c r="C27" s="1"/>
      <c r="D27" s="5" t="str">
        <f t="shared" ref="D27:D29" si="5">$F$5&amp;E27</f>
        <v>B        FS08</v>
      </c>
      <c r="E27" s="5" t="str">
        <f>'Both Shifts'!E27</f>
        <v xml:space="preserve">        FS08</v>
      </c>
      <c r="F27" s="5" t="str">
        <f>'Both Shifts'!F27</f>
        <v/>
      </c>
      <c r="G27" s="5" t="str">
        <f>'Both Shifts'!G27</f>
        <v/>
      </c>
      <c r="H27" s="5" t="str">
        <f>'Both Shifts'!H27</f>
        <v/>
      </c>
      <c r="I27" s="6" t="str">
        <f>'Both Shifts'!I27</f>
        <v/>
      </c>
      <c r="J27" s="7" t="str">
        <f>'Both Shifts'!J27</f>
        <v/>
      </c>
      <c r="K27" s="7" t="str">
        <f>'Both Shifts'!K27</f>
        <v/>
      </c>
      <c r="L27" s="8" t="str">
        <f>'Both Shifts'!L27</f>
        <v/>
      </c>
      <c r="M27" s="8" t="str">
        <f>'Both Shifts'!M27</f>
        <v/>
      </c>
      <c r="N27" s="64" t="str">
        <f>'Both Shifts'!N27</f>
        <v/>
      </c>
      <c r="O27" s="64" t="str">
        <f>'Both Shifts'!O27</f>
        <v/>
      </c>
      <c r="P27" s="64" t="str">
        <f>'Both Shifts'!P27</f>
        <v/>
      </c>
      <c r="Q27" s="64" t="str">
        <f>'Both Shifts'!Q27</f>
        <v/>
      </c>
      <c r="R27" s="64" t="str">
        <f>'Both Shifts'!R27</f>
        <v/>
      </c>
      <c r="S27" s="64" t="str">
        <f>'Both Shifts'!S27</f>
        <v/>
      </c>
      <c r="T27" s="64" t="str">
        <f>'Both Shifts'!T27</f>
        <v/>
      </c>
      <c r="U27" s="64" t="str">
        <f>'Both Shifts'!U27</f>
        <v/>
      </c>
      <c r="V27" s="64" t="str">
        <f>'Both Shifts'!V27</f>
        <v/>
      </c>
      <c r="W27" s="64" t="str">
        <f>'Both Shifts'!W27</f>
        <v/>
      </c>
      <c r="X27" s="64" t="str">
        <f>'Both Shifts'!X27</f>
        <v/>
      </c>
      <c r="Y27" s="65" t="str">
        <f>'Both Shifts'!Y27</f>
        <v/>
      </c>
      <c r="Z27" s="8" t="str">
        <f>'Both Shifts'!Z27</f>
        <v/>
      </c>
      <c r="AA27" s="8" t="str">
        <f>'Both Shifts'!AA27</f>
        <v/>
      </c>
      <c r="AB27" s="23"/>
      <c r="AC27" s="8"/>
      <c r="AD27" s="8"/>
      <c r="AE27" s="8" t="str">
        <f t="shared" si="0"/>
        <v>TRUE</v>
      </c>
      <c r="AF27" s="1"/>
    </row>
    <row r="28" spans="1:32" x14ac:dyDescent="0.25">
      <c r="A28" s="1"/>
      <c r="B28" s="1"/>
      <c r="C28" s="1"/>
      <c r="D28" s="5" t="str">
        <f>$F$5&amp;E28</f>
        <v>B        FS08</v>
      </c>
      <c r="E28" s="5" t="str">
        <f>'Both Shifts'!E28</f>
        <v xml:space="preserve">        FS08</v>
      </c>
      <c r="F28" s="5" t="str">
        <f>'Both Shifts'!F28</f>
        <v/>
      </c>
      <c r="G28" s="5" t="str">
        <f>'Both Shifts'!G28</f>
        <v/>
      </c>
      <c r="H28" s="5" t="str">
        <f>'Both Shifts'!H28</f>
        <v/>
      </c>
      <c r="I28" s="6" t="str">
        <f>'Both Shifts'!I28</f>
        <v/>
      </c>
      <c r="J28" s="7" t="str">
        <f>'Both Shifts'!J28</f>
        <v/>
      </c>
      <c r="K28" s="7" t="str">
        <f>'Both Shifts'!K28</f>
        <v/>
      </c>
      <c r="L28" s="8" t="str">
        <f>'Both Shifts'!L28</f>
        <v/>
      </c>
      <c r="M28" s="8" t="str">
        <f>'Both Shifts'!M28</f>
        <v/>
      </c>
      <c r="N28" s="64" t="str">
        <f>'Both Shifts'!N28</f>
        <v/>
      </c>
      <c r="O28" s="64" t="str">
        <f>'Both Shifts'!O28</f>
        <v/>
      </c>
      <c r="P28" s="64" t="str">
        <f>'Both Shifts'!P28</f>
        <v/>
      </c>
      <c r="Q28" s="64" t="str">
        <f>'Both Shifts'!Q28</f>
        <v/>
      </c>
      <c r="R28" s="64" t="str">
        <f>'Both Shifts'!R28</f>
        <v/>
      </c>
      <c r="S28" s="64" t="str">
        <f>'Both Shifts'!S28</f>
        <v/>
      </c>
      <c r="T28" s="64" t="str">
        <f>'Both Shifts'!T28</f>
        <v/>
      </c>
      <c r="U28" s="64" t="str">
        <f>'Both Shifts'!U28</f>
        <v/>
      </c>
      <c r="V28" s="64" t="str">
        <f>'Both Shifts'!V28</f>
        <v/>
      </c>
      <c r="W28" s="64" t="str">
        <f>'Both Shifts'!W28</f>
        <v/>
      </c>
      <c r="X28" s="64" t="str">
        <f>'Both Shifts'!X28</f>
        <v/>
      </c>
      <c r="Y28" s="65" t="str">
        <f>'Both Shifts'!Y28</f>
        <v/>
      </c>
      <c r="Z28" s="8" t="str">
        <f>'Both Shifts'!Z28</f>
        <v/>
      </c>
      <c r="AA28" s="8" t="str">
        <f>'Both Shifts'!AA28</f>
        <v/>
      </c>
      <c r="AB28" s="23"/>
      <c r="AC28" s="8"/>
      <c r="AD28" s="8"/>
      <c r="AE28" s="8" t="str">
        <f t="shared" si="0"/>
        <v>TRUE</v>
      </c>
      <c r="AF28" s="1"/>
    </row>
    <row r="29" spans="1:32" x14ac:dyDescent="0.25">
      <c r="A29" s="1"/>
      <c r="B29" s="1"/>
      <c r="C29" s="1"/>
      <c r="D29" s="5" t="str">
        <f t="shared" si="5"/>
        <v>B        FS08</v>
      </c>
      <c r="E29" s="5" t="str">
        <f>'Both Shifts'!E29</f>
        <v xml:space="preserve">        FS08</v>
      </c>
      <c r="F29" s="5" t="str">
        <f>'Both Shifts'!F29</f>
        <v/>
      </c>
      <c r="G29" s="5" t="str">
        <f>'Both Shifts'!G29</f>
        <v/>
      </c>
      <c r="H29" s="5" t="str">
        <f>'Both Shifts'!H29</f>
        <v/>
      </c>
      <c r="I29" s="6" t="str">
        <f>'Both Shifts'!I29</f>
        <v/>
      </c>
      <c r="J29" s="7" t="str">
        <f>'Both Shifts'!J29</f>
        <v/>
      </c>
      <c r="K29" s="7" t="str">
        <f>'Both Shifts'!K29</f>
        <v/>
      </c>
      <c r="L29" s="8" t="str">
        <f>'Both Shifts'!L29</f>
        <v/>
      </c>
      <c r="M29" s="8" t="str">
        <f>'Both Shifts'!M29</f>
        <v/>
      </c>
      <c r="N29" s="64" t="str">
        <f>'Both Shifts'!N29</f>
        <v/>
      </c>
      <c r="O29" s="64" t="str">
        <f>'Both Shifts'!O29</f>
        <v/>
      </c>
      <c r="P29" s="64" t="str">
        <f>'Both Shifts'!P29</f>
        <v/>
      </c>
      <c r="Q29" s="64" t="str">
        <f>'Both Shifts'!Q29</f>
        <v/>
      </c>
      <c r="R29" s="64" t="str">
        <f>'Both Shifts'!R29</f>
        <v/>
      </c>
      <c r="S29" s="64" t="str">
        <f>'Both Shifts'!S29</f>
        <v/>
      </c>
      <c r="T29" s="64" t="str">
        <f>'Both Shifts'!T29</f>
        <v/>
      </c>
      <c r="U29" s="64" t="str">
        <f>'Both Shifts'!U29</f>
        <v/>
      </c>
      <c r="V29" s="64" t="str">
        <f>'Both Shifts'!V29</f>
        <v/>
      </c>
      <c r="W29" s="64" t="str">
        <f>'Both Shifts'!W29</f>
        <v/>
      </c>
      <c r="X29" s="64" t="str">
        <f>'Both Shifts'!X29</f>
        <v/>
      </c>
      <c r="Y29" s="65" t="str">
        <f>'Both Shifts'!Y29</f>
        <v/>
      </c>
      <c r="Z29" s="8" t="str">
        <f>'Both Shifts'!Z29</f>
        <v/>
      </c>
      <c r="AA29" s="8" t="str">
        <f>'Both Shifts'!AA29</f>
        <v/>
      </c>
      <c r="AB29" s="23"/>
      <c r="AC29" s="8"/>
      <c r="AD29" s="8"/>
      <c r="AE29" s="8" t="str">
        <f t="shared" si="0"/>
        <v>TRUE</v>
      </c>
      <c r="AF29" s="1"/>
    </row>
    <row r="30" spans="1:32" x14ac:dyDescent="0.25">
      <c r="A30" s="1"/>
      <c r="B30" s="1"/>
      <c r="C30" s="1"/>
      <c r="D30" s="12"/>
      <c r="E30" s="12"/>
      <c r="F30" s="62" t="str">
        <f>IF(F27="","",0)</f>
        <v/>
      </c>
      <c r="G30" s="13"/>
      <c r="H30" s="34" t="str">
        <f>$F$5</f>
        <v>B</v>
      </c>
      <c r="I30" s="34" t="str">
        <f>$F$5&amp;J30</f>
        <v>B        FS08</v>
      </c>
      <c r="J30" s="67" t="str">
        <f>F26</f>
        <v xml:space="preserve">        FS08</v>
      </c>
      <c r="K30" s="67"/>
      <c r="L30" s="67" t="s">
        <v>19</v>
      </c>
      <c r="M30" s="67"/>
      <c r="N30" s="42">
        <f>SUMIF($D:$D,$I30,N:N)</f>
        <v>0</v>
      </c>
      <c r="O30" s="42">
        <f>SUMIF($D:$D,$I30,O:O)</f>
        <v>0</v>
      </c>
      <c r="P30" s="42">
        <f>SUMIF($D:$D,$I30,P:P)</f>
        <v>0</v>
      </c>
      <c r="Q30" s="42">
        <f>SUMIF($D:$D,$I30,Q:Q)</f>
        <v>0</v>
      </c>
      <c r="R30" s="42">
        <f>SUMIF($D:$D,$I30,R:R)</f>
        <v>0</v>
      </c>
      <c r="S30" s="42">
        <f>SUMIF($D:$D,$I30,S:S)</f>
        <v>0</v>
      </c>
      <c r="T30" s="42">
        <f>SUMIF($D:$D,$I30,T:T)</f>
        <v>0</v>
      </c>
      <c r="U30" s="42"/>
      <c r="V30" s="42">
        <f>SUMIF($D:$D,$I30,V:V)</f>
        <v>0</v>
      </c>
      <c r="W30" s="42">
        <f>SUMIF($D:$D,$I30,W:W)</f>
        <v>0</v>
      </c>
      <c r="X30" s="42">
        <f>SUMIF($D:$D,$I30,X:X)</f>
        <v>0</v>
      </c>
      <c r="Y30" s="26"/>
      <c r="Z30" s="26"/>
      <c r="AA30" s="27" t="e">
        <f>N30/O30*100</f>
        <v>#DIV/0!</v>
      </c>
      <c r="AB30" s="35"/>
      <c r="AC30" s="26"/>
      <c r="AD30" s="27"/>
      <c r="AE30" s="27" t="str">
        <f t="shared" si="0"/>
        <v>TRUE</v>
      </c>
      <c r="AF30" s="1"/>
    </row>
    <row r="31" spans="1:32" x14ac:dyDescent="0.25">
      <c r="A31" s="1"/>
      <c r="B31" s="1"/>
      <c r="C31" s="1"/>
      <c r="D31" s="14"/>
      <c r="E31" s="14" t="s">
        <v>22</v>
      </c>
      <c r="F31" s="15" t="s">
        <v>46</v>
      </c>
      <c r="G31" s="16" t="s">
        <v>70</v>
      </c>
      <c r="H31" s="54" t="str">
        <f>IF(H32="","DNR",0)</f>
        <v>DNR</v>
      </c>
      <c r="I31" s="53">
        <v>0</v>
      </c>
      <c r="J31" s="54">
        <v>0</v>
      </c>
      <c r="K31" s="54">
        <v>0</v>
      </c>
      <c r="L31" s="54">
        <v>0</v>
      </c>
      <c r="M31" s="54">
        <v>0</v>
      </c>
      <c r="N31" s="54" t="str">
        <f>IF(F32="","DNR",0)</f>
        <v>DNR</v>
      </c>
      <c r="O31" s="54">
        <v>0</v>
      </c>
      <c r="P31" s="54">
        <v>0</v>
      </c>
      <c r="Q31" s="54">
        <v>0</v>
      </c>
      <c r="R31" s="54">
        <v>0</v>
      </c>
      <c r="S31" s="54">
        <v>0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5">
        <v>0</v>
      </c>
      <c r="AB31" s="16"/>
      <c r="AC31" s="16"/>
      <c r="AD31" s="17"/>
      <c r="AE31" s="17" t="str">
        <f t="shared" si="0"/>
        <v>TRUE</v>
      </c>
      <c r="AF31" s="1"/>
    </row>
    <row r="32" spans="1:32" x14ac:dyDescent="0.25">
      <c r="A32" s="1"/>
      <c r="B32" s="1"/>
      <c r="C32" s="1"/>
      <c r="D32" s="5" t="str">
        <f t="shared" ref="D32:D34" si="6">$F$5&amp;E32</f>
        <v>B        FS09</v>
      </c>
      <c r="E32" s="5" t="str">
        <f>'Both Shifts'!E32</f>
        <v xml:space="preserve">        FS09</v>
      </c>
      <c r="F32" s="5" t="str">
        <f>'Both Shifts'!F32</f>
        <v/>
      </c>
      <c r="G32" s="5" t="str">
        <f>'Both Shifts'!G32</f>
        <v/>
      </c>
      <c r="H32" s="5" t="str">
        <f>'Both Shifts'!H32</f>
        <v/>
      </c>
      <c r="I32" s="6" t="str">
        <f>'Both Shifts'!I32</f>
        <v/>
      </c>
      <c r="J32" s="7" t="str">
        <f>'Both Shifts'!J32</f>
        <v/>
      </c>
      <c r="K32" s="7" t="str">
        <f>'Both Shifts'!K32</f>
        <v/>
      </c>
      <c r="L32" s="8" t="str">
        <f>'Both Shifts'!L32</f>
        <v/>
      </c>
      <c r="M32" s="8" t="str">
        <f>'Both Shifts'!M32</f>
        <v/>
      </c>
      <c r="N32" s="64" t="str">
        <f>'Both Shifts'!N32</f>
        <v/>
      </c>
      <c r="O32" s="64" t="str">
        <f>'Both Shifts'!O32</f>
        <v/>
      </c>
      <c r="P32" s="64" t="str">
        <f>'Both Shifts'!P32</f>
        <v/>
      </c>
      <c r="Q32" s="64" t="str">
        <f>'Both Shifts'!Q32</f>
        <v/>
      </c>
      <c r="R32" s="64" t="str">
        <f>'Both Shifts'!R32</f>
        <v/>
      </c>
      <c r="S32" s="64" t="str">
        <f>'Both Shifts'!S32</f>
        <v/>
      </c>
      <c r="T32" s="64" t="str">
        <f>'Both Shifts'!T32</f>
        <v/>
      </c>
      <c r="U32" s="64" t="str">
        <f>'Both Shifts'!U32</f>
        <v/>
      </c>
      <c r="V32" s="64" t="str">
        <f>'Both Shifts'!V32</f>
        <v/>
      </c>
      <c r="W32" s="64" t="str">
        <f>'Both Shifts'!W32</f>
        <v/>
      </c>
      <c r="X32" s="64" t="str">
        <f>'Both Shifts'!X32</f>
        <v/>
      </c>
      <c r="Y32" s="65" t="str">
        <f>'Both Shifts'!Y32</f>
        <v/>
      </c>
      <c r="Z32" s="8" t="str">
        <f>'Both Shifts'!Z32</f>
        <v/>
      </c>
      <c r="AA32" s="8" t="str">
        <f>'Both Shifts'!AA32</f>
        <v/>
      </c>
      <c r="AB32" s="23"/>
      <c r="AC32" s="8"/>
      <c r="AD32" s="8"/>
      <c r="AE32" s="8" t="str">
        <f t="shared" si="0"/>
        <v>TRUE</v>
      </c>
      <c r="AF32" s="1"/>
    </row>
    <row r="33" spans="1:32" x14ac:dyDescent="0.25">
      <c r="A33" s="1"/>
      <c r="B33" s="1"/>
      <c r="C33" s="1"/>
      <c r="D33" s="5" t="str">
        <f t="shared" si="6"/>
        <v>B        FS09</v>
      </c>
      <c r="E33" s="5" t="str">
        <f>'Both Shifts'!E33</f>
        <v xml:space="preserve">        FS09</v>
      </c>
      <c r="F33" s="5" t="str">
        <f>'Both Shifts'!F33</f>
        <v/>
      </c>
      <c r="G33" s="5" t="str">
        <f>'Both Shifts'!G33</f>
        <v/>
      </c>
      <c r="H33" s="5" t="str">
        <f>'Both Shifts'!H33</f>
        <v/>
      </c>
      <c r="I33" s="6" t="str">
        <f>'Both Shifts'!I33</f>
        <v/>
      </c>
      <c r="J33" s="7" t="str">
        <f>'Both Shifts'!J33</f>
        <v/>
      </c>
      <c r="K33" s="7" t="str">
        <f>'Both Shifts'!K33</f>
        <v/>
      </c>
      <c r="L33" s="8" t="str">
        <f>'Both Shifts'!L33</f>
        <v/>
      </c>
      <c r="M33" s="8" t="str">
        <f>'Both Shifts'!M33</f>
        <v/>
      </c>
      <c r="N33" s="64" t="str">
        <f>'Both Shifts'!N33</f>
        <v/>
      </c>
      <c r="O33" s="64" t="str">
        <f>'Both Shifts'!O33</f>
        <v/>
      </c>
      <c r="P33" s="64" t="str">
        <f>'Both Shifts'!P33</f>
        <v/>
      </c>
      <c r="Q33" s="64" t="str">
        <f>'Both Shifts'!Q33</f>
        <v/>
      </c>
      <c r="R33" s="64" t="str">
        <f>'Both Shifts'!R33</f>
        <v/>
      </c>
      <c r="S33" s="64" t="str">
        <f>'Both Shifts'!S33</f>
        <v/>
      </c>
      <c r="T33" s="64" t="str">
        <f>'Both Shifts'!T33</f>
        <v/>
      </c>
      <c r="U33" s="64" t="str">
        <f>'Both Shifts'!U33</f>
        <v/>
      </c>
      <c r="V33" s="64" t="str">
        <f>'Both Shifts'!V33</f>
        <v/>
      </c>
      <c r="W33" s="64" t="str">
        <f>'Both Shifts'!W33</f>
        <v/>
      </c>
      <c r="X33" s="64" t="str">
        <f>'Both Shifts'!X33</f>
        <v/>
      </c>
      <c r="Y33" s="65" t="str">
        <f>'Both Shifts'!Y33</f>
        <v/>
      </c>
      <c r="Z33" s="8" t="str">
        <f>'Both Shifts'!Z33</f>
        <v/>
      </c>
      <c r="AA33" s="8" t="str">
        <f>'Both Shifts'!AA33</f>
        <v/>
      </c>
      <c r="AB33" s="23"/>
      <c r="AC33" s="8"/>
      <c r="AD33" s="8"/>
      <c r="AE33" s="8" t="str">
        <f t="shared" si="0"/>
        <v>TRUE</v>
      </c>
      <c r="AF33" s="1"/>
    </row>
    <row r="34" spans="1:32" x14ac:dyDescent="0.25">
      <c r="A34" s="1"/>
      <c r="B34" s="1"/>
      <c r="C34" s="1"/>
      <c r="D34" s="5" t="str">
        <f t="shared" si="6"/>
        <v>B        FS09</v>
      </c>
      <c r="E34" s="5" t="str">
        <f>'Both Shifts'!E34</f>
        <v xml:space="preserve">        FS09</v>
      </c>
      <c r="F34" s="5" t="str">
        <f>'Both Shifts'!F34</f>
        <v/>
      </c>
      <c r="G34" s="5" t="str">
        <f>'Both Shifts'!G34</f>
        <v/>
      </c>
      <c r="H34" s="5" t="str">
        <f>'Both Shifts'!H34</f>
        <v/>
      </c>
      <c r="I34" s="6" t="str">
        <f>'Both Shifts'!I34</f>
        <v/>
      </c>
      <c r="J34" s="7" t="str">
        <f>'Both Shifts'!J34</f>
        <v/>
      </c>
      <c r="K34" s="7" t="str">
        <f>'Both Shifts'!K34</f>
        <v/>
      </c>
      <c r="L34" s="8" t="str">
        <f>'Both Shifts'!L34</f>
        <v/>
      </c>
      <c r="M34" s="8" t="str">
        <f>'Both Shifts'!M34</f>
        <v/>
      </c>
      <c r="N34" s="64" t="str">
        <f>'Both Shifts'!N34</f>
        <v/>
      </c>
      <c r="O34" s="64" t="str">
        <f>'Both Shifts'!O34</f>
        <v/>
      </c>
      <c r="P34" s="64" t="str">
        <f>'Both Shifts'!P34</f>
        <v/>
      </c>
      <c r="Q34" s="64" t="str">
        <f>'Both Shifts'!Q34</f>
        <v/>
      </c>
      <c r="R34" s="64" t="str">
        <f>'Both Shifts'!R34</f>
        <v/>
      </c>
      <c r="S34" s="64" t="str">
        <f>'Both Shifts'!S34</f>
        <v/>
      </c>
      <c r="T34" s="64" t="str">
        <f>'Both Shifts'!T34</f>
        <v/>
      </c>
      <c r="U34" s="64" t="str">
        <f>'Both Shifts'!U34</f>
        <v/>
      </c>
      <c r="V34" s="64" t="str">
        <f>'Both Shifts'!V34</f>
        <v/>
      </c>
      <c r="W34" s="64" t="str">
        <f>'Both Shifts'!W34</f>
        <v/>
      </c>
      <c r="X34" s="64" t="str">
        <f>'Both Shifts'!X34</f>
        <v/>
      </c>
      <c r="Y34" s="65" t="str">
        <f>'Both Shifts'!Y34</f>
        <v/>
      </c>
      <c r="Z34" s="8" t="str">
        <f>'Both Shifts'!Z34</f>
        <v/>
      </c>
      <c r="AA34" s="8" t="str">
        <f>'Both Shifts'!AA34</f>
        <v/>
      </c>
      <c r="AB34" s="23"/>
      <c r="AC34" s="8"/>
      <c r="AD34" s="8"/>
      <c r="AE34" s="8" t="str">
        <f t="shared" si="0"/>
        <v>TRUE</v>
      </c>
      <c r="AF34" s="1"/>
    </row>
    <row r="35" spans="1:32" x14ac:dyDescent="0.25">
      <c r="A35" s="1"/>
      <c r="B35" s="1"/>
      <c r="C35" s="1"/>
      <c r="D35" s="12"/>
      <c r="E35" s="12"/>
      <c r="F35" s="62" t="str">
        <f>IF(F32="","",0)</f>
        <v/>
      </c>
      <c r="G35" s="13"/>
      <c r="H35" s="34" t="str">
        <f>$F$5</f>
        <v>B</v>
      </c>
      <c r="I35" s="34" t="str">
        <f>$F$5&amp;J35</f>
        <v>B        FS09</v>
      </c>
      <c r="J35" s="67" t="str">
        <f>F31</f>
        <v xml:space="preserve">        FS09</v>
      </c>
      <c r="K35" s="67"/>
      <c r="L35" s="67" t="s">
        <v>19</v>
      </c>
      <c r="M35" s="67"/>
      <c r="N35" s="42">
        <f>SUMIF($D:$D,$I35,N:N)</f>
        <v>0</v>
      </c>
      <c r="O35" s="42">
        <f>SUMIF($D:$D,$I35,O:O)</f>
        <v>0</v>
      </c>
      <c r="P35" s="42">
        <f>SUMIF($D:$D,$I35,P:P)</f>
        <v>0</v>
      </c>
      <c r="Q35" s="42">
        <f>SUMIF($D:$D,$I35,Q:Q)</f>
        <v>0</v>
      </c>
      <c r="R35" s="42">
        <f>SUMIF($D:$D,$I35,R:R)</f>
        <v>0</v>
      </c>
      <c r="S35" s="42">
        <f>SUMIF($D:$D,$I35,S:S)</f>
        <v>0</v>
      </c>
      <c r="T35" s="42">
        <f>SUMIF($D:$D,$I35,T:T)</f>
        <v>0</v>
      </c>
      <c r="U35" s="42"/>
      <c r="V35" s="42">
        <f>SUMIF($D:$D,$I35,V:V)</f>
        <v>0</v>
      </c>
      <c r="W35" s="42">
        <f>SUMIF($D:$D,$I35,W:W)</f>
        <v>0</v>
      </c>
      <c r="X35" s="42">
        <f>SUMIF($D:$D,$I35,X:X)</f>
        <v>0</v>
      </c>
      <c r="Y35" s="26"/>
      <c r="Z35" s="26"/>
      <c r="AA35" s="27" t="e">
        <f>N35/O35*100</f>
        <v>#DIV/0!</v>
      </c>
      <c r="AB35" s="35"/>
      <c r="AC35" s="26"/>
      <c r="AD35" s="27"/>
      <c r="AE35" s="27" t="str">
        <f t="shared" si="0"/>
        <v>TRUE</v>
      </c>
      <c r="AF35" s="1"/>
    </row>
    <row r="36" spans="1:32" x14ac:dyDescent="0.25">
      <c r="A36" s="1"/>
      <c r="B36" s="1"/>
      <c r="C36" s="1"/>
      <c r="D36" s="14"/>
      <c r="E36" s="14" t="s">
        <v>22</v>
      </c>
      <c r="F36" s="15" t="s">
        <v>31</v>
      </c>
      <c r="G36" s="16" t="s">
        <v>32</v>
      </c>
      <c r="H36" s="54">
        <f>IF(H37="","DNR",0)</f>
        <v>0</v>
      </c>
      <c r="I36" s="53">
        <v>0</v>
      </c>
      <c r="J36" s="54">
        <v>0</v>
      </c>
      <c r="K36" s="54">
        <v>0</v>
      </c>
      <c r="L36" s="54">
        <v>0</v>
      </c>
      <c r="M36" s="54">
        <v>0</v>
      </c>
      <c r="N36" s="54">
        <f>IF(F37="","DNR",0)</f>
        <v>0</v>
      </c>
      <c r="O36" s="54">
        <v>0</v>
      </c>
      <c r="P36" s="54">
        <v>0</v>
      </c>
      <c r="Q36" s="54">
        <v>0</v>
      </c>
      <c r="R36" s="54">
        <v>0</v>
      </c>
      <c r="S36" s="54">
        <v>0</v>
      </c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5">
        <v>0</v>
      </c>
      <c r="AB36" s="16"/>
      <c r="AC36" s="16"/>
      <c r="AD36" s="17"/>
      <c r="AE36" s="17" t="b">
        <f t="shared" si="0"/>
        <v>0</v>
      </c>
      <c r="AF36" s="1"/>
    </row>
    <row r="37" spans="1:32" x14ac:dyDescent="0.25">
      <c r="A37" s="1"/>
      <c r="B37" s="1"/>
      <c r="C37" s="1"/>
      <c r="D37" s="5" t="str">
        <f t="shared" ref="D37:D39" si="7">$F$5&amp;E37</f>
        <v>B        FS10</v>
      </c>
      <c r="E37" s="5" t="str">
        <f>'Both Shifts'!E37</f>
        <v xml:space="preserve">        FS10</v>
      </c>
      <c r="F37" s="5">
        <f>'Both Shifts'!F37</f>
        <v>63009647</v>
      </c>
      <c r="G37" s="5" t="str">
        <f>'Both Shifts'!G37</f>
        <v>KAH 40 12/1L 16 US</v>
      </c>
      <c r="H37" s="5">
        <f>'Both Shifts'!H37</f>
        <v>409039</v>
      </c>
      <c r="I37" s="6">
        <f>'Both Shifts'!I37</f>
        <v>44901</v>
      </c>
      <c r="J37" s="7">
        <f>'Both Shifts'!J37</f>
        <v>0.20833333333333334</v>
      </c>
      <c r="K37" s="7">
        <f>'Both Shifts'!K37</f>
        <v>0.64583333333333337</v>
      </c>
      <c r="L37" s="8">
        <f>'Both Shifts'!L37</f>
        <v>10</v>
      </c>
      <c r="M37" s="8">
        <f>'Both Shifts'!M37</f>
        <v>7</v>
      </c>
      <c r="N37" s="64">
        <f>'Both Shifts'!N37</f>
        <v>4747</v>
      </c>
      <c r="O37" s="64">
        <f>'Both Shifts'!O37</f>
        <v>11875</v>
      </c>
      <c r="P37" s="64">
        <f>'Both Shifts'!P37</f>
        <v>630</v>
      </c>
      <c r="Q37" s="64">
        <f>'Both Shifts'!Q37</f>
        <v>35</v>
      </c>
      <c r="R37" s="64">
        <f>'Both Shifts'!R37</f>
        <v>0</v>
      </c>
      <c r="S37" s="64">
        <f>'Both Shifts'!S37</f>
        <v>0</v>
      </c>
      <c r="T37" s="64">
        <f>'Both Shifts'!T37</f>
        <v>25</v>
      </c>
      <c r="U37" s="64">
        <f>'Both Shifts'!U37</f>
        <v>0</v>
      </c>
      <c r="V37" s="64">
        <f>'Both Shifts'!V37</f>
        <v>0</v>
      </c>
      <c r="W37" s="64">
        <f>'Both Shifts'!W37</f>
        <v>14</v>
      </c>
      <c r="X37" s="64">
        <f>'Both Shifts'!X37</f>
        <v>570</v>
      </c>
      <c r="Y37" s="65">
        <f>'Both Shifts'!Y37</f>
        <v>250</v>
      </c>
      <c r="Z37" s="8" t="str">
        <f>'Both Shifts'!Z37</f>
        <v/>
      </c>
      <c r="AA37" s="8">
        <f>'Both Shifts'!AA37</f>
        <v>39.97</v>
      </c>
      <c r="AB37" s="23"/>
      <c r="AC37" s="8"/>
      <c r="AD37" s="8"/>
      <c r="AE37" s="8" t="b">
        <f t="shared" si="0"/>
        <v>0</v>
      </c>
      <c r="AF37" s="1"/>
    </row>
    <row r="38" spans="1:32" x14ac:dyDescent="0.25">
      <c r="A38" s="1"/>
      <c r="B38" s="1"/>
      <c r="C38" s="1"/>
      <c r="D38" s="5" t="str">
        <f t="shared" si="7"/>
        <v>B        FS10</v>
      </c>
      <c r="E38" s="5" t="str">
        <f>'Both Shifts'!E38</f>
        <v xml:space="preserve">        FS10</v>
      </c>
      <c r="F38" s="5" t="str">
        <f>'Both Shifts'!F38</f>
        <v/>
      </c>
      <c r="G38" s="5" t="str">
        <f>'Both Shifts'!G38</f>
        <v/>
      </c>
      <c r="H38" s="5" t="str">
        <f>'Both Shifts'!H38</f>
        <v/>
      </c>
      <c r="I38" s="6" t="str">
        <f>'Both Shifts'!I38</f>
        <v/>
      </c>
      <c r="J38" s="7" t="str">
        <f>'Both Shifts'!J38</f>
        <v/>
      </c>
      <c r="K38" s="7" t="str">
        <f>'Both Shifts'!K38</f>
        <v/>
      </c>
      <c r="L38" s="8" t="str">
        <f>'Both Shifts'!L38</f>
        <v/>
      </c>
      <c r="M38" s="8" t="str">
        <f>'Both Shifts'!M38</f>
        <v/>
      </c>
      <c r="N38" s="64" t="str">
        <f>'Both Shifts'!N38</f>
        <v/>
      </c>
      <c r="O38" s="64" t="str">
        <f>'Both Shifts'!O38</f>
        <v/>
      </c>
      <c r="P38" s="64" t="str">
        <f>'Both Shifts'!P38</f>
        <v/>
      </c>
      <c r="Q38" s="64" t="str">
        <f>'Both Shifts'!Q38</f>
        <v/>
      </c>
      <c r="R38" s="64" t="str">
        <f>'Both Shifts'!R38</f>
        <v/>
      </c>
      <c r="S38" s="64" t="str">
        <f>'Both Shifts'!S38</f>
        <v/>
      </c>
      <c r="T38" s="64" t="str">
        <f>'Both Shifts'!T38</f>
        <v/>
      </c>
      <c r="U38" s="64" t="str">
        <f>'Both Shifts'!U38</f>
        <v/>
      </c>
      <c r="V38" s="64" t="str">
        <f>'Both Shifts'!V38</f>
        <v/>
      </c>
      <c r="W38" s="64" t="str">
        <f>'Both Shifts'!W38</f>
        <v/>
      </c>
      <c r="X38" s="64" t="str">
        <f>'Both Shifts'!X38</f>
        <v/>
      </c>
      <c r="Y38" s="65" t="str">
        <f>'Both Shifts'!Y38</f>
        <v/>
      </c>
      <c r="Z38" s="8" t="str">
        <f>'Both Shifts'!Z38</f>
        <v/>
      </c>
      <c r="AA38" s="8" t="str">
        <f>'Both Shifts'!AA38</f>
        <v/>
      </c>
      <c r="AB38" s="23"/>
      <c r="AC38" s="8"/>
      <c r="AD38" s="8"/>
      <c r="AE38" s="8" t="str">
        <f t="shared" si="0"/>
        <v>TRUE</v>
      </c>
      <c r="AF38" s="1"/>
    </row>
    <row r="39" spans="1:32" x14ac:dyDescent="0.25">
      <c r="A39" s="1"/>
      <c r="B39" s="1"/>
      <c r="C39" s="1"/>
      <c r="D39" s="5" t="str">
        <f t="shared" si="7"/>
        <v>B        FS10</v>
      </c>
      <c r="E39" s="5" t="str">
        <f>'Both Shifts'!E39</f>
        <v xml:space="preserve">        FS10</v>
      </c>
      <c r="F39" s="5" t="str">
        <f>'Both Shifts'!F39</f>
        <v/>
      </c>
      <c r="G39" s="5" t="str">
        <f>'Both Shifts'!G39</f>
        <v/>
      </c>
      <c r="H39" s="5" t="str">
        <f>'Both Shifts'!H39</f>
        <v/>
      </c>
      <c r="I39" s="6" t="str">
        <f>'Both Shifts'!I39</f>
        <v/>
      </c>
      <c r="J39" s="7" t="str">
        <f>'Both Shifts'!J39</f>
        <v/>
      </c>
      <c r="K39" s="7" t="str">
        <f>'Both Shifts'!K39</f>
        <v/>
      </c>
      <c r="L39" s="8" t="str">
        <f>'Both Shifts'!L39</f>
        <v/>
      </c>
      <c r="M39" s="8" t="str">
        <f>'Both Shifts'!M39</f>
        <v/>
      </c>
      <c r="N39" s="64" t="str">
        <f>'Both Shifts'!N39</f>
        <v/>
      </c>
      <c r="O39" s="64" t="str">
        <f>'Both Shifts'!O39</f>
        <v/>
      </c>
      <c r="P39" s="64" t="str">
        <f>'Both Shifts'!P39</f>
        <v/>
      </c>
      <c r="Q39" s="64" t="str">
        <f>'Both Shifts'!Q39</f>
        <v/>
      </c>
      <c r="R39" s="64" t="str">
        <f>'Both Shifts'!R39</f>
        <v/>
      </c>
      <c r="S39" s="64" t="str">
        <f>'Both Shifts'!S39</f>
        <v/>
      </c>
      <c r="T39" s="64" t="str">
        <f>'Both Shifts'!T39</f>
        <v/>
      </c>
      <c r="U39" s="64" t="str">
        <f>'Both Shifts'!U39</f>
        <v/>
      </c>
      <c r="V39" s="64" t="str">
        <f>'Both Shifts'!V39</f>
        <v/>
      </c>
      <c r="W39" s="64" t="str">
        <f>'Both Shifts'!W39</f>
        <v/>
      </c>
      <c r="X39" s="64" t="str">
        <f>'Both Shifts'!X39</f>
        <v/>
      </c>
      <c r="Y39" s="65" t="str">
        <f>'Both Shifts'!Y39</f>
        <v/>
      </c>
      <c r="Z39" s="8" t="str">
        <f>'Both Shifts'!Z39</f>
        <v/>
      </c>
      <c r="AA39" s="8" t="str">
        <f>'Both Shifts'!AA39</f>
        <v/>
      </c>
      <c r="AB39" s="23"/>
      <c r="AC39" s="8"/>
      <c r="AD39" s="8"/>
      <c r="AE39" s="8" t="str">
        <f t="shared" si="0"/>
        <v>TRUE</v>
      </c>
      <c r="AF39" s="1"/>
    </row>
    <row r="40" spans="1:32" x14ac:dyDescent="0.25">
      <c r="A40" s="1"/>
      <c r="B40" s="1"/>
      <c r="C40" s="1"/>
      <c r="D40" s="12"/>
      <c r="E40" s="12"/>
      <c r="F40" s="62">
        <f>IF(F37="","",0)</f>
        <v>0</v>
      </c>
      <c r="G40" s="13"/>
      <c r="H40" s="34" t="str">
        <f>$F$5</f>
        <v>B</v>
      </c>
      <c r="I40" s="34" t="str">
        <f>$F$5&amp;J40</f>
        <v>B        FS10</v>
      </c>
      <c r="J40" s="67" t="str">
        <f>F36</f>
        <v xml:space="preserve">        FS10</v>
      </c>
      <c r="K40" s="67"/>
      <c r="L40" s="67" t="s">
        <v>19</v>
      </c>
      <c r="M40" s="67"/>
      <c r="N40" s="42">
        <f>SUMIF($D:$D,$I40,N:N)</f>
        <v>4747</v>
      </c>
      <c r="O40" s="42">
        <f>SUMIF($D:$D,$I40,O:O)</f>
        <v>11875</v>
      </c>
      <c r="P40" s="42">
        <f>SUMIF($D:$D,$I40,P:P)</f>
        <v>630</v>
      </c>
      <c r="Q40" s="42">
        <f>SUMIF($D:$D,$I40,Q:Q)</f>
        <v>35</v>
      </c>
      <c r="R40" s="42">
        <f>SUMIF($D:$D,$I40,R:R)</f>
        <v>0</v>
      </c>
      <c r="S40" s="42">
        <f>SUMIF($D:$D,$I40,S:S)</f>
        <v>0</v>
      </c>
      <c r="T40" s="42">
        <f>SUMIF($D:$D,$I40,T:T)</f>
        <v>25</v>
      </c>
      <c r="U40" s="42"/>
      <c r="V40" s="42">
        <f>SUMIF($D:$D,$I40,V:V)</f>
        <v>0</v>
      </c>
      <c r="W40" s="42">
        <f>SUMIF($D:$D,$I40,W:W)</f>
        <v>14</v>
      </c>
      <c r="X40" s="42">
        <f>SUMIF($D:$D,$I40,X:X)</f>
        <v>570</v>
      </c>
      <c r="Y40" s="26"/>
      <c r="Z40" s="26"/>
      <c r="AA40" s="27">
        <f>N40/O40*100</f>
        <v>39.974736842105266</v>
      </c>
      <c r="AB40" s="35"/>
      <c r="AC40" s="26"/>
      <c r="AD40" s="27"/>
      <c r="AE40" s="27" t="b">
        <f t="shared" si="0"/>
        <v>0</v>
      </c>
      <c r="AF40" s="1"/>
    </row>
    <row r="41" spans="1:32" x14ac:dyDescent="0.25">
      <c r="A41" s="1"/>
      <c r="B41" s="1"/>
      <c r="C41" s="1"/>
      <c r="D41" s="14"/>
      <c r="E41" s="14" t="s">
        <v>22</v>
      </c>
      <c r="F41" s="15" t="s">
        <v>33</v>
      </c>
      <c r="G41" s="16" t="s">
        <v>34</v>
      </c>
      <c r="H41" s="54">
        <f>IF(H42="","DNR",0)</f>
        <v>0</v>
      </c>
      <c r="I41" s="53">
        <v>0</v>
      </c>
      <c r="J41" s="54">
        <v>0</v>
      </c>
      <c r="K41" s="54">
        <v>0</v>
      </c>
      <c r="L41" s="54">
        <v>0</v>
      </c>
      <c r="M41" s="54">
        <v>0</v>
      </c>
      <c r="N41" s="54">
        <f>IF(F42="","DNR",0)</f>
        <v>0</v>
      </c>
      <c r="O41" s="54">
        <v>0</v>
      </c>
      <c r="P41" s="54">
        <v>0</v>
      </c>
      <c r="Q41" s="54">
        <v>0</v>
      </c>
      <c r="R41" s="54">
        <v>0</v>
      </c>
      <c r="S41" s="54">
        <v>0</v>
      </c>
      <c r="T41" s="54">
        <v>0</v>
      </c>
      <c r="U41" s="54">
        <v>0</v>
      </c>
      <c r="V41" s="54">
        <v>0</v>
      </c>
      <c r="W41" s="54">
        <v>0</v>
      </c>
      <c r="X41" s="54">
        <v>0</v>
      </c>
      <c r="Y41" s="54">
        <v>0</v>
      </c>
      <c r="Z41" s="54">
        <v>0</v>
      </c>
      <c r="AA41" s="55">
        <v>0</v>
      </c>
      <c r="AB41" s="16"/>
      <c r="AC41" s="16"/>
      <c r="AD41" s="17"/>
      <c r="AE41" s="17" t="b">
        <f t="shared" si="0"/>
        <v>0</v>
      </c>
      <c r="AF41" s="1"/>
    </row>
    <row r="42" spans="1:32" x14ac:dyDescent="0.25">
      <c r="A42" s="1"/>
      <c r="B42" s="1"/>
      <c r="C42" s="1"/>
      <c r="D42" s="5" t="str">
        <f>$F$5&amp;E42</f>
        <v>B        FS12</v>
      </c>
      <c r="E42" s="5" t="str">
        <f>'Both Shifts'!E42</f>
        <v xml:space="preserve">        FS12</v>
      </c>
      <c r="F42" s="5">
        <f>'Both Shifts'!F42</f>
        <v>63012825</v>
      </c>
      <c r="G42" s="5" t="str">
        <f>'Both Shifts'!G42</f>
        <v>KAH 32 6/1.75L PT 20 CA</v>
      </c>
      <c r="H42" s="5">
        <f>'Both Shifts'!H42</f>
        <v>409092</v>
      </c>
      <c r="I42" s="6">
        <f>'Both Shifts'!I42</f>
        <v>44901</v>
      </c>
      <c r="J42" s="7">
        <f>'Both Shifts'!J42</f>
        <v>0.20833333333333334</v>
      </c>
      <c r="K42" s="7">
        <f>'Both Shifts'!K42</f>
        <v>0.64583333333333337</v>
      </c>
      <c r="L42" s="8">
        <f>'Both Shifts'!L42</f>
        <v>4</v>
      </c>
      <c r="M42" s="8">
        <f>'Both Shifts'!M42</f>
        <v>5</v>
      </c>
      <c r="N42" s="64">
        <f>'Both Shifts'!N42</f>
        <v>1207</v>
      </c>
      <c r="O42" s="64">
        <f>'Both Shifts'!O42</f>
        <v>10175</v>
      </c>
      <c r="P42" s="64">
        <f>'Both Shifts'!P42</f>
        <v>630</v>
      </c>
      <c r="Q42" s="64">
        <f>'Both Shifts'!Q42</f>
        <v>30</v>
      </c>
      <c r="R42" s="64">
        <f>'Both Shifts'!R42</f>
        <v>0</v>
      </c>
      <c r="S42" s="64">
        <f>'Both Shifts'!S42</f>
        <v>45</v>
      </c>
      <c r="T42" s="64">
        <f>'Both Shifts'!T42</f>
        <v>0</v>
      </c>
      <c r="U42" s="64">
        <f>'Both Shifts'!U42</f>
        <v>0</v>
      </c>
      <c r="V42" s="64">
        <f>'Both Shifts'!V42</f>
        <v>3</v>
      </c>
      <c r="W42" s="64">
        <f>'Both Shifts'!W42</f>
        <v>10</v>
      </c>
      <c r="X42" s="64">
        <f>'Both Shifts'!X42</f>
        <v>555</v>
      </c>
      <c r="Y42" s="65">
        <f>'Both Shifts'!Y42</f>
        <v>110</v>
      </c>
      <c r="Z42" s="8" t="str">
        <f>'Both Shifts'!Z42</f>
        <v/>
      </c>
      <c r="AA42" s="8">
        <f>'Both Shifts'!AA42</f>
        <v>11.86</v>
      </c>
      <c r="AB42" s="23"/>
      <c r="AC42" s="8"/>
      <c r="AD42" s="8"/>
      <c r="AE42" s="8" t="b">
        <f t="shared" si="0"/>
        <v>0</v>
      </c>
      <c r="AF42" s="1"/>
    </row>
    <row r="43" spans="1:32" x14ac:dyDescent="0.25">
      <c r="A43" s="1"/>
      <c r="B43" s="1"/>
      <c r="C43" s="1"/>
      <c r="D43" s="5" t="str">
        <f t="shared" ref="D43:D44" si="8">$F$5&amp;E43</f>
        <v>B        FS12</v>
      </c>
      <c r="E43" s="5" t="str">
        <f>'Both Shifts'!E43</f>
        <v xml:space="preserve">        FS12</v>
      </c>
      <c r="F43" s="5" t="str">
        <f>'Both Shifts'!F43</f>
        <v/>
      </c>
      <c r="G43" s="5" t="str">
        <f>'Both Shifts'!G43</f>
        <v/>
      </c>
      <c r="H43" s="5" t="str">
        <f>'Both Shifts'!H43</f>
        <v/>
      </c>
      <c r="I43" s="6" t="str">
        <f>'Both Shifts'!I43</f>
        <v/>
      </c>
      <c r="J43" s="7" t="str">
        <f>'Both Shifts'!J43</f>
        <v/>
      </c>
      <c r="K43" s="7" t="str">
        <f>'Both Shifts'!K43</f>
        <v/>
      </c>
      <c r="L43" s="8" t="str">
        <f>'Both Shifts'!L43</f>
        <v/>
      </c>
      <c r="M43" s="8" t="str">
        <f>'Both Shifts'!M43</f>
        <v/>
      </c>
      <c r="N43" s="64" t="str">
        <f>'Both Shifts'!N43</f>
        <v/>
      </c>
      <c r="O43" s="64" t="str">
        <f>'Both Shifts'!O43</f>
        <v/>
      </c>
      <c r="P43" s="64" t="str">
        <f>'Both Shifts'!P43</f>
        <v/>
      </c>
      <c r="Q43" s="64" t="str">
        <f>'Both Shifts'!Q43</f>
        <v/>
      </c>
      <c r="R43" s="64" t="str">
        <f>'Both Shifts'!R43</f>
        <v/>
      </c>
      <c r="S43" s="64" t="str">
        <f>'Both Shifts'!S43</f>
        <v/>
      </c>
      <c r="T43" s="64" t="str">
        <f>'Both Shifts'!T43</f>
        <v/>
      </c>
      <c r="U43" s="64" t="str">
        <f>'Both Shifts'!U43</f>
        <v/>
      </c>
      <c r="V43" s="64" t="str">
        <f>'Both Shifts'!V43</f>
        <v/>
      </c>
      <c r="W43" s="64" t="str">
        <f>'Both Shifts'!W43</f>
        <v/>
      </c>
      <c r="X43" s="64" t="str">
        <f>'Both Shifts'!X43</f>
        <v/>
      </c>
      <c r="Y43" s="65" t="str">
        <f>'Both Shifts'!Y43</f>
        <v/>
      </c>
      <c r="Z43" s="8" t="str">
        <f>'Both Shifts'!Z43</f>
        <v/>
      </c>
      <c r="AA43" s="8" t="str">
        <f>'Both Shifts'!AA43</f>
        <v/>
      </c>
      <c r="AB43" s="23"/>
      <c r="AC43" s="8"/>
      <c r="AD43" s="8"/>
      <c r="AE43" s="8" t="str">
        <f t="shared" si="0"/>
        <v>TRUE</v>
      </c>
      <c r="AF43" s="1"/>
    </row>
    <row r="44" spans="1:32" x14ac:dyDescent="0.25">
      <c r="A44" s="1"/>
      <c r="B44" s="1"/>
      <c r="C44" s="1"/>
      <c r="D44" s="5" t="str">
        <f t="shared" si="8"/>
        <v>B        FS12</v>
      </c>
      <c r="E44" s="5" t="str">
        <f>'Both Shifts'!E44</f>
        <v xml:space="preserve">        FS12</v>
      </c>
      <c r="F44" s="5" t="str">
        <f>'Both Shifts'!F44</f>
        <v/>
      </c>
      <c r="G44" s="5" t="str">
        <f>'Both Shifts'!G44</f>
        <v/>
      </c>
      <c r="H44" s="5" t="str">
        <f>'Both Shifts'!H44</f>
        <v/>
      </c>
      <c r="I44" s="6" t="str">
        <f>'Both Shifts'!I44</f>
        <v/>
      </c>
      <c r="J44" s="7" t="str">
        <f>'Both Shifts'!J44</f>
        <v/>
      </c>
      <c r="K44" s="7" t="str">
        <f>'Both Shifts'!K44</f>
        <v/>
      </c>
      <c r="L44" s="8" t="str">
        <f>'Both Shifts'!L44</f>
        <v/>
      </c>
      <c r="M44" s="8" t="str">
        <f>'Both Shifts'!M44</f>
        <v/>
      </c>
      <c r="N44" s="64" t="str">
        <f>'Both Shifts'!N44</f>
        <v/>
      </c>
      <c r="O44" s="64" t="str">
        <f>'Both Shifts'!O44</f>
        <v/>
      </c>
      <c r="P44" s="64" t="str">
        <f>'Both Shifts'!P44</f>
        <v/>
      </c>
      <c r="Q44" s="64" t="str">
        <f>'Both Shifts'!Q44</f>
        <v/>
      </c>
      <c r="R44" s="64" t="str">
        <f>'Both Shifts'!R44</f>
        <v/>
      </c>
      <c r="S44" s="64" t="str">
        <f>'Both Shifts'!S44</f>
        <v/>
      </c>
      <c r="T44" s="64" t="str">
        <f>'Both Shifts'!T44</f>
        <v/>
      </c>
      <c r="U44" s="64" t="str">
        <f>'Both Shifts'!U44</f>
        <v/>
      </c>
      <c r="V44" s="64" t="str">
        <f>'Both Shifts'!V44</f>
        <v/>
      </c>
      <c r="W44" s="64" t="str">
        <f>'Both Shifts'!W44</f>
        <v/>
      </c>
      <c r="X44" s="64" t="str">
        <f>'Both Shifts'!X44</f>
        <v/>
      </c>
      <c r="Y44" s="65" t="str">
        <f>'Both Shifts'!Y44</f>
        <v/>
      </c>
      <c r="Z44" s="8" t="str">
        <f>'Both Shifts'!Z44</f>
        <v/>
      </c>
      <c r="AA44" s="8" t="str">
        <f>'Both Shifts'!AA44</f>
        <v/>
      </c>
      <c r="AB44" s="23"/>
      <c r="AC44" s="8"/>
      <c r="AD44" s="8"/>
      <c r="AE44" s="8" t="str">
        <f t="shared" si="0"/>
        <v>TRUE</v>
      </c>
      <c r="AF44" s="1"/>
    </row>
    <row r="45" spans="1:32" x14ac:dyDescent="0.25">
      <c r="A45" s="1"/>
      <c r="B45" s="1"/>
      <c r="C45" s="1"/>
      <c r="D45" s="12"/>
      <c r="E45" s="12"/>
      <c r="F45" s="62">
        <f>IF(F42="","",0)</f>
        <v>0</v>
      </c>
      <c r="G45" s="13"/>
      <c r="H45" s="34" t="str">
        <f>$F$5</f>
        <v>B</v>
      </c>
      <c r="I45" s="34" t="str">
        <f>$F$5&amp;J45</f>
        <v>B        FS12</v>
      </c>
      <c r="J45" s="67" t="str">
        <f>F41</f>
        <v xml:space="preserve">        FS12</v>
      </c>
      <c r="K45" s="67"/>
      <c r="L45" s="67" t="s">
        <v>19</v>
      </c>
      <c r="M45" s="67"/>
      <c r="N45" s="42">
        <f>SUMIF($D:$D,$I45,N:N)</f>
        <v>1207</v>
      </c>
      <c r="O45" s="42">
        <f>SUMIF($D:$D,$I45,O:O)</f>
        <v>10175</v>
      </c>
      <c r="P45" s="42">
        <f>SUMIF($D:$D,$I45,P:P)</f>
        <v>630</v>
      </c>
      <c r="Q45" s="42">
        <f>SUMIF($D:$D,$I45,Q:Q)</f>
        <v>30</v>
      </c>
      <c r="R45" s="42">
        <f>SUMIF($D:$D,$I45,R:R)</f>
        <v>0</v>
      </c>
      <c r="S45" s="42">
        <f>SUMIF($D:$D,$I45,S:S)</f>
        <v>45</v>
      </c>
      <c r="T45" s="42">
        <f>SUMIF($D:$D,$I45,T:T)</f>
        <v>0</v>
      </c>
      <c r="U45" s="42"/>
      <c r="V45" s="42">
        <f>SUMIF($D:$D,$I45,V:V)</f>
        <v>3</v>
      </c>
      <c r="W45" s="42">
        <f>SUMIF($D:$D,$I45,W:W)</f>
        <v>10</v>
      </c>
      <c r="X45" s="42">
        <f>SUMIF($D:$D,$I45,X:X)</f>
        <v>555</v>
      </c>
      <c r="Y45" s="26"/>
      <c r="Z45" s="26"/>
      <c r="AA45" s="27">
        <f>N45/O45*100</f>
        <v>11.862407862407863</v>
      </c>
      <c r="AB45" s="35"/>
      <c r="AC45" s="26"/>
      <c r="AD45" s="27"/>
      <c r="AE45" s="27" t="b">
        <f t="shared" si="0"/>
        <v>0</v>
      </c>
      <c r="AF45" s="1"/>
    </row>
    <row r="46" spans="1:32" x14ac:dyDescent="0.25">
      <c r="A46" s="1"/>
      <c r="B46" s="1"/>
      <c r="C46" s="1"/>
      <c r="D46" s="14"/>
      <c r="E46" s="14" t="s">
        <v>22</v>
      </c>
      <c r="F46" s="15" t="s">
        <v>114</v>
      </c>
      <c r="G46" s="16" t="s">
        <v>118</v>
      </c>
      <c r="H46" s="54">
        <f>IF(H47="","DNR",0)</f>
        <v>0</v>
      </c>
      <c r="I46" s="53">
        <v>0</v>
      </c>
      <c r="J46" s="54">
        <v>0</v>
      </c>
      <c r="K46" s="54">
        <v>0</v>
      </c>
      <c r="L46" s="54">
        <v>0</v>
      </c>
      <c r="M46" s="54">
        <v>0</v>
      </c>
      <c r="N46" s="54">
        <f>IF(F47="","DNR",0)</f>
        <v>0</v>
      </c>
      <c r="O46" s="54">
        <v>0</v>
      </c>
      <c r="P46" s="54">
        <v>0</v>
      </c>
      <c r="Q46" s="54">
        <v>0</v>
      </c>
      <c r="R46" s="54">
        <v>0</v>
      </c>
      <c r="S46" s="54">
        <v>0</v>
      </c>
      <c r="T46" s="54">
        <v>0</v>
      </c>
      <c r="U46" s="54">
        <v>0</v>
      </c>
      <c r="V46" s="54">
        <v>0</v>
      </c>
      <c r="W46" s="54">
        <v>0</v>
      </c>
      <c r="X46" s="54">
        <v>0</v>
      </c>
      <c r="Y46" s="54">
        <v>0</v>
      </c>
      <c r="Z46" s="54">
        <v>0</v>
      </c>
      <c r="AA46" s="55">
        <v>0</v>
      </c>
      <c r="AB46" s="35"/>
      <c r="AC46" s="26"/>
      <c r="AD46" s="27"/>
      <c r="AE46" s="27"/>
      <c r="AF46" s="1"/>
    </row>
    <row r="47" spans="1:32" x14ac:dyDescent="0.25">
      <c r="A47" s="1"/>
      <c r="B47" s="1"/>
      <c r="C47" s="1"/>
      <c r="D47" s="5" t="str">
        <f>$F$5&amp;E47</f>
        <v>B        FS14</v>
      </c>
      <c r="E47" s="5" t="str">
        <f>'Both Shifts'!E47</f>
        <v xml:space="preserve">        FS14</v>
      </c>
      <c r="F47" s="5">
        <f>'Both Shifts'!F47</f>
        <v>65119005</v>
      </c>
      <c r="G47" s="5" t="str">
        <f>'Both Shifts'!G47</f>
        <v>JAMESON GNGER LM 12 24/355NWUS</v>
      </c>
      <c r="H47" s="5">
        <f>'Both Shifts'!H47</f>
        <v>409116</v>
      </c>
      <c r="I47" s="6">
        <f>'Both Shifts'!I47</f>
        <v>44901</v>
      </c>
      <c r="J47" s="7">
        <f>'Both Shifts'!J47</f>
        <v>0.33333333333333331</v>
      </c>
      <c r="K47" s="7">
        <f>'Both Shifts'!K47</f>
        <v>0.58333333333333337</v>
      </c>
      <c r="L47" s="8">
        <f>'Both Shifts'!L47</f>
        <v>5</v>
      </c>
      <c r="M47" s="8">
        <f>'Both Shifts'!M47</f>
        <v>12</v>
      </c>
      <c r="N47" s="64">
        <f>'Both Shifts'!N47</f>
        <v>290</v>
      </c>
      <c r="O47" s="64">
        <f>'Both Shifts'!O47</f>
        <v>6662.5</v>
      </c>
      <c r="P47" s="64">
        <f>'Both Shifts'!P47</f>
        <v>360</v>
      </c>
      <c r="Q47" s="64">
        <f>'Both Shifts'!Q47</f>
        <v>60</v>
      </c>
      <c r="R47" s="64">
        <f>'Both Shifts'!R47</f>
        <v>0</v>
      </c>
      <c r="S47" s="64">
        <f>'Both Shifts'!S47</f>
        <v>0</v>
      </c>
      <c r="T47" s="64">
        <f>'Both Shifts'!T47</f>
        <v>0</v>
      </c>
      <c r="U47" s="64">
        <f>'Both Shifts'!U47</f>
        <v>0</v>
      </c>
      <c r="V47" s="64">
        <f>'Both Shifts'!V47</f>
        <v>0</v>
      </c>
      <c r="W47" s="64">
        <f>'Both Shifts'!W47</f>
        <v>10</v>
      </c>
      <c r="X47" s="64">
        <f>'Both Shifts'!X47</f>
        <v>300</v>
      </c>
      <c r="Y47" s="65">
        <f>'Both Shifts'!Y47</f>
        <v>533</v>
      </c>
      <c r="Z47" s="8" t="str">
        <f>'Both Shifts'!Z47</f>
        <v/>
      </c>
      <c r="AA47" s="8">
        <f>'Both Shifts'!AA47</f>
        <v>4.3499999999999996</v>
      </c>
      <c r="AB47" s="35"/>
      <c r="AC47" s="26"/>
      <c r="AD47" s="27"/>
      <c r="AE47" s="27"/>
      <c r="AF47" s="1"/>
    </row>
    <row r="48" spans="1:32" x14ac:dyDescent="0.25">
      <c r="A48" s="1"/>
      <c r="B48" s="1"/>
      <c r="C48" s="1"/>
      <c r="D48" s="5" t="str">
        <f t="shared" ref="D48:D49" si="9">$F$5&amp;E48</f>
        <v>B        FS14</v>
      </c>
      <c r="E48" s="5" t="str">
        <f>'Both Shifts'!E48</f>
        <v xml:space="preserve">        FS14</v>
      </c>
      <c r="F48" s="5" t="str">
        <f>'Both Shifts'!F48</f>
        <v/>
      </c>
      <c r="G48" s="5" t="str">
        <f>'Both Shifts'!G48</f>
        <v/>
      </c>
      <c r="H48" s="5" t="str">
        <f>'Both Shifts'!H48</f>
        <v/>
      </c>
      <c r="I48" s="6" t="str">
        <f>'Both Shifts'!I48</f>
        <v/>
      </c>
      <c r="J48" s="7" t="str">
        <f>'Both Shifts'!J48</f>
        <v/>
      </c>
      <c r="K48" s="7" t="str">
        <f>'Both Shifts'!K48</f>
        <v/>
      </c>
      <c r="L48" s="8" t="str">
        <f>'Both Shifts'!L48</f>
        <v/>
      </c>
      <c r="M48" s="8" t="str">
        <f>'Both Shifts'!M48</f>
        <v/>
      </c>
      <c r="N48" s="64" t="str">
        <f>'Both Shifts'!N48</f>
        <v/>
      </c>
      <c r="O48" s="64" t="str">
        <f>'Both Shifts'!O48</f>
        <v/>
      </c>
      <c r="P48" s="64" t="str">
        <f>'Both Shifts'!P48</f>
        <v/>
      </c>
      <c r="Q48" s="64" t="str">
        <f>'Both Shifts'!Q48</f>
        <v/>
      </c>
      <c r="R48" s="64" t="str">
        <f>'Both Shifts'!R48</f>
        <v/>
      </c>
      <c r="S48" s="64" t="str">
        <f>'Both Shifts'!S48</f>
        <v/>
      </c>
      <c r="T48" s="64" t="str">
        <f>'Both Shifts'!T48</f>
        <v/>
      </c>
      <c r="U48" s="64" t="str">
        <f>'Both Shifts'!U48</f>
        <v/>
      </c>
      <c r="V48" s="64" t="str">
        <f>'Both Shifts'!V48</f>
        <v/>
      </c>
      <c r="W48" s="64" t="str">
        <f>'Both Shifts'!W48</f>
        <v/>
      </c>
      <c r="X48" s="64" t="str">
        <f>'Both Shifts'!X48</f>
        <v/>
      </c>
      <c r="Y48" s="65" t="str">
        <f>'Both Shifts'!Y48</f>
        <v/>
      </c>
      <c r="Z48" s="8" t="str">
        <f>'Both Shifts'!Z48</f>
        <v/>
      </c>
      <c r="AA48" s="8" t="str">
        <f>'Both Shifts'!AA48</f>
        <v/>
      </c>
      <c r="AB48" s="35"/>
      <c r="AC48" s="26"/>
      <c r="AD48" s="27"/>
      <c r="AE48" s="27"/>
      <c r="AF48" s="1"/>
    </row>
    <row r="49" spans="1:32" x14ac:dyDescent="0.25">
      <c r="A49" s="1"/>
      <c r="B49" s="1"/>
      <c r="C49" s="1"/>
      <c r="D49" s="5" t="str">
        <f t="shared" si="9"/>
        <v>B        FS14</v>
      </c>
      <c r="E49" s="5" t="str">
        <f>'Both Shifts'!E49</f>
        <v xml:space="preserve">        FS14</v>
      </c>
      <c r="F49" s="5" t="str">
        <f>'Both Shifts'!F49</f>
        <v/>
      </c>
      <c r="G49" s="5" t="str">
        <f>'Both Shifts'!G49</f>
        <v/>
      </c>
      <c r="H49" s="5" t="str">
        <f>'Both Shifts'!H49</f>
        <v/>
      </c>
      <c r="I49" s="6" t="str">
        <f>'Both Shifts'!I49</f>
        <v/>
      </c>
      <c r="J49" s="7" t="str">
        <f>'Both Shifts'!J49</f>
        <v/>
      </c>
      <c r="K49" s="7" t="str">
        <f>'Both Shifts'!K49</f>
        <v/>
      </c>
      <c r="L49" s="8" t="str">
        <f>'Both Shifts'!L49</f>
        <v/>
      </c>
      <c r="M49" s="8" t="str">
        <f>'Both Shifts'!M49</f>
        <v/>
      </c>
      <c r="N49" s="64" t="str">
        <f>'Both Shifts'!N49</f>
        <v/>
      </c>
      <c r="O49" s="64" t="str">
        <f>'Both Shifts'!O49</f>
        <v/>
      </c>
      <c r="P49" s="64" t="str">
        <f>'Both Shifts'!P49</f>
        <v/>
      </c>
      <c r="Q49" s="64" t="str">
        <f>'Both Shifts'!Q49</f>
        <v/>
      </c>
      <c r="R49" s="64" t="str">
        <f>'Both Shifts'!R49</f>
        <v/>
      </c>
      <c r="S49" s="64" t="str">
        <f>'Both Shifts'!S49</f>
        <v/>
      </c>
      <c r="T49" s="64" t="str">
        <f>'Both Shifts'!T49</f>
        <v/>
      </c>
      <c r="U49" s="64" t="str">
        <f>'Both Shifts'!U49</f>
        <v/>
      </c>
      <c r="V49" s="64" t="str">
        <f>'Both Shifts'!V49</f>
        <v/>
      </c>
      <c r="W49" s="64" t="str">
        <f>'Both Shifts'!W49</f>
        <v/>
      </c>
      <c r="X49" s="64" t="str">
        <f>'Both Shifts'!X49</f>
        <v/>
      </c>
      <c r="Y49" s="65" t="str">
        <f>'Both Shifts'!Y49</f>
        <v/>
      </c>
      <c r="Z49" s="8" t="str">
        <f>'Both Shifts'!Z49</f>
        <v/>
      </c>
      <c r="AA49" s="8" t="str">
        <f>'Both Shifts'!AA49</f>
        <v/>
      </c>
      <c r="AB49" s="35"/>
      <c r="AC49" s="26"/>
      <c r="AD49" s="27"/>
      <c r="AE49" s="27"/>
      <c r="AF49" s="1"/>
    </row>
    <row r="50" spans="1:32" x14ac:dyDescent="0.25">
      <c r="A50" s="1"/>
      <c r="B50" s="1"/>
      <c r="C50" s="1"/>
      <c r="D50" s="12"/>
      <c r="E50" s="12"/>
      <c r="F50" s="62">
        <f>IF(F47="","",0)</f>
        <v>0</v>
      </c>
      <c r="G50" s="13"/>
      <c r="H50" s="34" t="str">
        <f>$F$5</f>
        <v>B</v>
      </c>
      <c r="I50" s="34" t="str">
        <f>$F$5&amp;J50</f>
        <v>B        FS14</v>
      </c>
      <c r="J50" s="67" t="str">
        <f>F46</f>
        <v xml:space="preserve">        FS14</v>
      </c>
      <c r="K50" s="67"/>
      <c r="L50" s="67" t="s">
        <v>19</v>
      </c>
      <c r="M50" s="67"/>
      <c r="N50" s="42">
        <f>SUMIF($D:$D,$I50,N:N)</f>
        <v>290</v>
      </c>
      <c r="O50" s="42">
        <f>SUMIF($D:$D,$I50,O:O)</f>
        <v>6662.5</v>
      </c>
      <c r="P50" s="42">
        <f>SUMIF($D:$D,$I50,P:P)</f>
        <v>360</v>
      </c>
      <c r="Q50" s="42">
        <f>SUMIF($D:$D,$I50,Q:Q)</f>
        <v>60</v>
      </c>
      <c r="R50" s="42">
        <f>SUMIF($D:$D,$I50,R:R)</f>
        <v>0</v>
      </c>
      <c r="S50" s="42">
        <f>SUMIF($D:$D,$I50,S:S)</f>
        <v>0</v>
      </c>
      <c r="T50" s="42">
        <f>SUMIF($D:$D,$I50,T:T)</f>
        <v>0</v>
      </c>
      <c r="U50" s="42"/>
      <c r="V50" s="42">
        <f>SUMIF($D:$D,$I50,V:V)</f>
        <v>0</v>
      </c>
      <c r="W50" s="42">
        <f>SUMIF($D:$D,$I50,W:W)</f>
        <v>10</v>
      </c>
      <c r="X50" s="42">
        <f>SUMIF($D:$D,$I50,X:X)</f>
        <v>300</v>
      </c>
      <c r="Y50" s="26"/>
      <c r="Z50" s="26"/>
      <c r="AA50" s="27">
        <f>N50/O50*100</f>
        <v>4.3527204502814261</v>
      </c>
      <c r="AB50" s="35"/>
      <c r="AC50" s="26"/>
      <c r="AD50" s="27"/>
      <c r="AE50" s="27"/>
      <c r="AF50" s="1"/>
    </row>
    <row r="51" spans="1:32" x14ac:dyDescent="0.25">
      <c r="A51" s="1"/>
      <c r="B51" s="1"/>
      <c r="C51" s="1"/>
      <c r="D51" s="19"/>
      <c r="E51" s="19"/>
      <c r="F51" s="63">
        <v>0</v>
      </c>
      <c r="G51" s="20"/>
      <c r="H51" s="20"/>
      <c r="I51" s="20"/>
      <c r="J51" s="20"/>
      <c r="K51" s="20"/>
      <c r="L51" s="69" t="s">
        <v>20</v>
      </c>
      <c r="M51" s="69"/>
      <c r="N51" s="43">
        <f>SUMIF($H:$H,$F$5,N:N)</f>
        <v>13612</v>
      </c>
      <c r="O51" s="43">
        <f>SUMIF($H:$H,$F$5,O:O)</f>
        <v>46412.7</v>
      </c>
      <c r="P51" s="43">
        <f>SUMIF($H:$H,$F$5,P:P)</f>
        <v>4320</v>
      </c>
      <c r="Q51" s="43">
        <f>SUMIF($H:$H,$F$5,Q:Q)</f>
        <v>495</v>
      </c>
      <c r="R51" s="43">
        <f>SUMIF($H:$H,$F$5,R:R)</f>
        <v>20</v>
      </c>
      <c r="S51" s="43">
        <f>SUMIF($H:$H,$F$5,S:S)</f>
        <v>45</v>
      </c>
      <c r="T51" s="43">
        <f>SUMIF($H:$H,$F$5,T:T)</f>
        <v>100</v>
      </c>
      <c r="U51" s="43"/>
      <c r="V51" s="43">
        <f>SUMIF($H:$H,$F$5,V:V)</f>
        <v>3</v>
      </c>
      <c r="W51" s="43">
        <f>SUMIF($H:$H,$F$5,W:W)</f>
        <v>78</v>
      </c>
      <c r="X51" s="43">
        <f>SUMIF($H:$H,$F$5,X:X)</f>
        <v>3660</v>
      </c>
      <c r="Y51" s="28"/>
      <c r="Z51" s="28"/>
      <c r="AA51" s="29">
        <f>N51/O51*100</f>
        <v>29.328179571539685</v>
      </c>
      <c r="AB51" s="36"/>
      <c r="AC51" s="28"/>
      <c r="AD51" s="29"/>
      <c r="AE51" s="29" t="b">
        <f t="shared" si="0"/>
        <v>0</v>
      </c>
      <c r="AF51" s="1"/>
    </row>
    <row r="52" spans="1:3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56">
        <v>0</v>
      </c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</row>
    <row r="53" spans="1:3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56">
        <v>0</v>
      </c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</row>
    <row r="54" spans="1:32" ht="15.75" thickBo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56">
        <v>0</v>
      </c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</row>
    <row r="55" spans="1:32" ht="15.75" thickBot="1" x14ac:dyDescent="0.3">
      <c r="A55" s="1"/>
      <c r="B55" s="1"/>
      <c r="C55" s="1"/>
      <c r="D55" s="1"/>
      <c r="E55" s="72" t="s">
        <v>55</v>
      </c>
      <c r="F55" s="73"/>
      <c r="G55" s="74"/>
      <c r="H55" s="84"/>
      <c r="I55" s="85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6"/>
      <c r="AE55" s="59"/>
      <c r="AF55" s="1"/>
    </row>
    <row r="56" spans="1:32" ht="15.75" thickBot="1" x14ac:dyDescent="0.3">
      <c r="A56" s="1"/>
      <c r="B56" s="1"/>
      <c r="C56" s="1"/>
      <c r="D56" s="1"/>
      <c r="E56" s="72" t="s">
        <v>47</v>
      </c>
      <c r="F56" s="73"/>
      <c r="G56" s="74"/>
      <c r="H56" s="87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  <c r="X56" s="88"/>
      <c r="Y56" s="88"/>
      <c r="Z56" s="88"/>
      <c r="AA56" s="88"/>
      <c r="AB56" s="88"/>
      <c r="AC56" s="88"/>
      <c r="AD56" s="89"/>
      <c r="AE56" s="59"/>
      <c r="AF56" s="1"/>
    </row>
    <row r="57" spans="1:32" x14ac:dyDescent="0.25">
      <c r="A57" s="1"/>
      <c r="B57" s="1"/>
      <c r="C57" s="1"/>
      <c r="D57" s="1"/>
      <c r="E57" s="75" t="s">
        <v>48</v>
      </c>
      <c r="F57" s="76"/>
      <c r="G57" s="77"/>
      <c r="H57" s="90"/>
      <c r="I57" s="91"/>
      <c r="J57" s="91"/>
      <c r="K57" s="91"/>
      <c r="L57" s="91"/>
      <c r="M57" s="91"/>
      <c r="N57" s="91"/>
      <c r="O57" s="91"/>
      <c r="P57" s="91"/>
      <c r="Q57" s="91"/>
      <c r="R57" s="91"/>
      <c r="S57" s="91"/>
      <c r="T57" s="91"/>
      <c r="U57" s="91"/>
      <c r="V57" s="91"/>
      <c r="W57" s="91"/>
      <c r="X57" s="91"/>
      <c r="Y57" s="91"/>
      <c r="Z57" s="91"/>
      <c r="AA57" s="91"/>
      <c r="AB57" s="91"/>
      <c r="AC57" s="91"/>
      <c r="AD57" s="92"/>
      <c r="AE57" s="59"/>
      <c r="AF57" s="1"/>
    </row>
    <row r="58" spans="1:32" x14ac:dyDescent="0.25">
      <c r="A58" s="1"/>
      <c r="B58" s="1"/>
      <c r="C58" s="1"/>
      <c r="D58" s="1"/>
      <c r="E58" s="78"/>
      <c r="F58" s="79"/>
      <c r="G58" s="80"/>
      <c r="H58" s="93"/>
      <c r="I58" s="94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5"/>
      <c r="AE58" s="59"/>
      <c r="AF58" s="1"/>
    </row>
    <row r="59" spans="1:32" ht="15.75" thickBot="1" x14ac:dyDescent="0.3">
      <c r="A59" s="1"/>
      <c r="B59" s="1"/>
      <c r="C59" s="1"/>
      <c r="D59" s="1"/>
      <c r="E59" s="81"/>
      <c r="F59" s="82"/>
      <c r="G59" s="83"/>
      <c r="H59" s="96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8"/>
      <c r="AE59" s="59"/>
      <c r="AF59" s="1"/>
    </row>
    <row r="60" spans="1:32" x14ac:dyDescent="0.25">
      <c r="A60" s="1"/>
      <c r="B60" s="1"/>
      <c r="C60" s="1"/>
      <c r="D60" s="1"/>
      <c r="E60" s="75" t="s">
        <v>49</v>
      </c>
      <c r="F60" s="76"/>
      <c r="G60" s="77"/>
      <c r="H60" s="90"/>
      <c r="I60" s="91"/>
      <c r="J60" s="91"/>
      <c r="K60" s="91"/>
      <c r="L60" s="91"/>
      <c r="M60" s="91"/>
      <c r="N60" s="91"/>
      <c r="O60" s="91"/>
      <c r="P60" s="91"/>
      <c r="Q60" s="91"/>
      <c r="R60" s="91"/>
      <c r="S60" s="91"/>
      <c r="T60" s="91"/>
      <c r="U60" s="91"/>
      <c r="V60" s="91"/>
      <c r="W60" s="91"/>
      <c r="X60" s="91"/>
      <c r="Y60" s="91"/>
      <c r="Z60" s="91"/>
      <c r="AA60" s="91"/>
      <c r="AB60" s="91"/>
      <c r="AC60" s="91"/>
      <c r="AD60" s="92"/>
      <c r="AE60" s="59"/>
      <c r="AF60" s="1"/>
    </row>
    <row r="61" spans="1:32" x14ac:dyDescent="0.25">
      <c r="A61" s="1"/>
      <c r="B61" s="1"/>
      <c r="C61" s="1"/>
      <c r="D61" s="1"/>
      <c r="E61" s="78"/>
      <c r="F61" s="79"/>
      <c r="G61" s="80"/>
      <c r="H61" s="93"/>
      <c r="I61" s="94"/>
      <c r="J61" s="94"/>
      <c r="K61" s="94"/>
      <c r="L61" s="94"/>
      <c r="M61" s="94"/>
      <c r="N61" s="94"/>
      <c r="O61" s="94"/>
      <c r="P61" s="94"/>
      <c r="Q61" s="94"/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5"/>
      <c r="AE61" s="59"/>
      <c r="AF61" s="1"/>
    </row>
    <row r="62" spans="1:32" x14ac:dyDescent="0.25">
      <c r="A62" s="1"/>
      <c r="B62" s="1"/>
      <c r="C62" s="1"/>
      <c r="D62" s="1"/>
      <c r="E62" s="78"/>
      <c r="F62" s="79"/>
      <c r="G62" s="80"/>
      <c r="H62" s="93"/>
      <c r="I62" s="94"/>
      <c r="J62" s="94"/>
      <c r="K62" s="94"/>
      <c r="L62" s="94"/>
      <c r="M62" s="94"/>
      <c r="N62" s="94"/>
      <c r="O62" s="94"/>
      <c r="P62" s="94"/>
      <c r="Q62" s="94"/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5"/>
      <c r="AE62" s="59"/>
      <c r="AF62" s="1"/>
    </row>
    <row r="63" spans="1:32" x14ac:dyDescent="0.25">
      <c r="A63" s="1"/>
      <c r="B63" s="1"/>
      <c r="C63" s="1"/>
      <c r="D63" s="1"/>
      <c r="E63" s="78"/>
      <c r="F63" s="79"/>
      <c r="G63" s="80"/>
      <c r="H63" s="93"/>
      <c r="I63" s="94"/>
      <c r="J63" s="94"/>
      <c r="K63" s="94"/>
      <c r="L63" s="94"/>
      <c r="M63" s="94"/>
      <c r="N63" s="94"/>
      <c r="O63" s="94"/>
      <c r="P63" s="94"/>
      <c r="Q63" s="94"/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5"/>
      <c r="AE63" s="59"/>
      <c r="AF63" s="1"/>
    </row>
    <row r="64" spans="1:32" ht="15.75" thickBot="1" x14ac:dyDescent="0.3">
      <c r="A64" s="1"/>
      <c r="B64" s="1"/>
      <c r="C64" s="1"/>
      <c r="D64" s="1"/>
      <c r="E64" s="81"/>
      <c r="F64" s="82"/>
      <c r="G64" s="83"/>
      <c r="H64" s="99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0"/>
      <c r="V64" s="100"/>
      <c r="W64" s="100"/>
      <c r="X64" s="100"/>
      <c r="Y64" s="100"/>
      <c r="Z64" s="100"/>
      <c r="AA64" s="100"/>
      <c r="AB64" s="100"/>
      <c r="AC64" s="100"/>
      <c r="AD64" s="101"/>
      <c r="AE64" s="59"/>
      <c r="AF64" s="1"/>
    </row>
    <row r="65" spans="1:32" x14ac:dyDescent="0.25">
      <c r="A65" s="1"/>
      <c r="B65" s="1"/>
      <c r="C65" s="1"/>
      <c r="D65" s="1"/>
      <c r="E65" s="75" t="s">
        <v>56</v>
      </c>
      <c r="F65" s="76"/>
      <c r="G65" s="77"/>
      <c r="H65" s="90"/>
      <c r="I65" s="91"/>
      <c r="J65" s="91"/>
      <c r="K65" s="91"/>
      <c r="L65" s="91"/>
      <c r="M65" s="91"/>
      <c r="N65" s="91"/>
      <c r="O65" s="91"/>
      <c r="P65" s="91"/>
      <c r="Q65" s="91"/>
      <c r="R65" s="91"/>
      <c r="S65" s="91"/>
      <c r="T65" s="91"/>
      <c r="U65" s="91"/>
      <c r="V65" s="91"/>
      <c r="W65" s="91"/>
      <c r="X65" s="91"/>
      <c r="Y65" s="91"/>
      <c r="Z65" s="91"/>
      <c r="AA65" s="91"/>
      <c r="AB65" s="91"/>
      <c r="AC65" s="91"/>
      <c r="AD65" s="92"/>
      <c r="AE65" s="59"/>
      <c r="AF65" s="1"/>
    </row>
    <row r="66" spans="1:32" x14ac:dyDescent="0.25">
      <c r="A66" s="1"/>
      <c r="B66" s="1"/>
      <c r="C66" s="1"/>
      <c r="D66" s="1"/>
      <c r="E66" s="78"/>
      <c r="F66" s="79"/>
      <c r="G66" s="80"/>
      <c r="H66" s="93"/>
      <c r="I66" s="94"/>
      <c r="J66" s="94"/>
      <c r="K66" s="94"/>
      <c r="L66" s="94"/>
      <c r="M66" s="94"/>
      <c r="N66" s="94"/>
      <c r="O66" s="94"/>
      <c r="P66" s="94"/>
      <c r="Q66" s="94"/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5"/>
      <c r="AE66" s="59"/>
      <c r="AF66" s="1"/>
    </row>
    <row r="67" spans="1:32" ht="15.75" thickBot="1" x14ac:dyDescent="0.3">
      <c r="A67" s="1"/>
      <c r="B67" s="1"/>
      <c r="C67" s="1"/>
      <c r="D67" s="1"/>
      <c r="E67" s="78"/>
      <c r="F67" s="79"/>
      <c r="G67" s="80"/>
      <c r="H67" s="96"/>
      <c r="I67" s="97"/>
      <c r="J67" s="97"/>
      <c r="K67" s="97"/>
      <c r="L67" s="97"/>
      <c r="M67" s="97"/>
      <c r="N67" s="97"/>
      <c r="O67" s="97"/>
      <c r="P67" s="97"/>
      <c r="Q67" s="97"/>
      <c r="R67" s="97"/>
      <c r="S67" s="97"/>
      <c r="T67" s="97"/>
      <c r="U67" s="97"/>
      <c r="V67" s="97"/>
      <c r="W67" s="97"/>
      <c r="X67" s="97"/>
      <c r="Y67" s="97"/>
      <c r="Z67" s="97"/>
      <c r="AA67" s="97"/>
      <c r="AB67" s="97"/>
      <c r="AC67" s="97"/>
      <c r="AD67" s="98"/>
      <c r="AE67" s="59"/>
      <c r="AF67" s="1"/>
    </row>
    <row r="68" spans="1:32" ht="15.75" thickBot="1" x14ac:dyDescent="0.3">
      <c r="A68" s="1"/>
      <c r="B68" s="1"/>
      <c r="C68" s="1"/>
      <c r="D68" s="1"/>
      <c r="E68" s="72" t="s">
        <v>57</v>
      </c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  <c r="AA68" s="73"/>
      <c r="AB68" s="73"/>
      <c r="AC68" s="73"/>
      <c r="AD68" s="74"/>
      <c r="AE68" s="59"/>
      <c r="AF68" s="1"/>
    </row>
    <row r="69" spans="1:32" x14ac:dyDescent="0.25">
      <c r="A69" s="1"/>
      <c r="B69" s="1"/>
      <c r="C69" s="1"/>
      <c r="D69" s="1"/>
      <c r="E69" s="87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9"/>
      <c r="AE69" s="59"/>
      <c r="AF69" s="1"/>
    </row>
    <row r="70" spans="1:32" x14ac:dyDescent="0.25">
      <c r="A70" s="1"/>
      <c r="B70" s="1"/>
      <c r="C70" s="1"/>
      <c r="D70" s="1"/>
      <c r="E70" s="102"/>
      <c r="F70" s="103"/>
      <c r="G70" s="103"/>
      <c r="H70" s="103"/>
      <c r="I70" s="103"/>
      <c r="J70" s="103"/>
      <c r="K70" s="103"/>
      <c r="L70" s="103"/>
      <c r="M70" s="103"/>
      <c r="N70" s="103"/>
      <c r="O70" s="103"/>
      <c r="P70" s="103"/>
      <c r="Q70" s="103"/>
      <c r="R70" s="103"/>
      <c r="S70" s="103"/>
      <c r="T70" s="103"/>
      <c r="U70" s="103"/>
      <c r="V70" s="103"/>
      <c r="W70" s="103"/>
      <c r="X70" s="103"/>
      <c r="Y70" s="103"/>
      <c r="Z70" s="103"/>
      <c r="AA70" s="103"/>
      <c r="AB70" s="103"/>
      <c r="AC70" s="103"/>
      <c r="AD70" s="104"/>
      <c r="AE70" s="59"/>
      <c r="AF70" s="1"/>
    </row>
    <row r="71" spans="1:32" x14ac:dyDescent="0.25">
      <c r="A71" s="1"/>
      <c r="B71" s="1"/>
      <c r="C71" s="1"/>
      <c r="D71" s="1"/>
      <c r="E71" s="102"/>
      <c r="F71" s="103"/>
      <c r="G71" s="103"/>
      <c r="H71" s="103"/>
      <c r="I71" s="103"/>
      <c r="J71" s="103"/>
      <c r="K71" s="103"/>
      <c r="L71" s="103"/>
      <c r="M71" s="103"/>
      <c r="N71" s="103"/>
      <c r="O71" s="103"/>
      <c r="P71" s="103"/>
      <c r="Q71" s="103"/>
      <c r="R71" s="103"/>
      <c r="S71" s="103"/>
      <c r="T71" s="103"/>
      <c r="U71" s="103"/>
      <c r="V71" s="103"/>
      <c r="W71" s="103"/>
      <c r="X71" s="103"/>
      <c r="Y71" s="103"/>
      <c r="Z71" s="103"/>
      <c r="AA71" s="103"/>
      <c r="AB71" s="103"/>
      <c r="AC71" s="103"/>
      <c r="AD71" s="104"/>
      <c r="AE71" s="59"/>
      <c r="AF71" s="1"/>
    </row>
    <row r="72" spans="1:32" ht="15.75" thickBot="1" x14ac:dyDescent="0.3">
      <c r="A72" s="1"/>
      <c r="B72" s="1"/>
      <c r="C72" s="1"/>
      <c r="D72" s="1"/>
      <c r="E72" s="99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  <c r="S72" s="100"/>
      <c r="T72" s="100"/>
      <c r="U72" s="100"/>
      <c r="V72" s="100"/>
      <c r="W72" s="100"/>
      <c r="X72" s="100"/>
      <c r="Y72" s="100"/>
      <c r="Z72" s="100"/>
      <c r="AA72" s="100"/>
      <c r="AB72" s="100"/>
      <c r="AC72" s="100"/>
      <c r="AD72" s="101"/>
      <c r="AE72" s="59"/>
      <c r="AF72" s="1"/>
    </row>
    <row r="73" spans="1:32" ht="15.75" thickBot="1" x14ac:dyDescent="0.3">
      <c r="A73" s="1"/>
      <c r="B73" s="1"/>
      <c r="C73" s="1"/>
      <c r="D73" s="1"/>
      <c r="E73" s="105" t="s">
        <v>69</v>
      </c>
      <c r="F73" s="106"/>
      <c r="G73" s="105" t="s">
        <v>59</v>
      </c>
      <c r="H73" s="106"/>
      <c r="I73" s="106"/>
      <c r="J73" s="106"/>
      <c r="K73" s="106"/>
      <c r="L73" s="107"/>
      <c r="M73" s="105" t="s">
        <v>60</v>
      </c>
      <c r="N73" s="106"/>
      <c r="O73" s="106"/>
      <c r="P73" s="106"/>
      <c r="Q73" s="106"/>
      <c r="R73" s="106"/>
      <c r="S73" s="106"/>
      <c r="T73" s="106"/>
      <c r="U73" s="106"/>
      <c r="V73" s="107"/>
      <c r="W73" s="105" t="s">
        <v>61</v>
      </c>
      <c r="X73" s="106"/>
      <c r="Y73" s="106"/>
      <c r="Z73" s="106"/>
      <c r="AA73" s="106"/>
      <c r="AB73" s="106"/>
      <c r="AC73" s="106"/>
      <c r="AD73" s="107"/>
      <c r="AE73" s="59"/>
      <c r="AF73" s="1"/>
    </row>
    <row r="74" spans="1:32" ht="15.75" thickBot="1" x14ac:dyDescent="0.3">
      <c r="A74" s="1"/>
      <c r="B74" s="1"/>
      <c r="C74" s="1"/>
      <c r="D74" s="1"/>
      <c r="E74" s="72" t="s">
        <v>58</v>
      </c>
      <c r="F74" s="73"/>
      <c r="G74" s="108"/>
      <c r="H74" s="109"/>
      <c r="I74" s="109"/>
      <c r="J74" s="109"/>
      <c r="K74" s="109"/>
      <c r="L74" s="110"/>
      <c r="M74" s="84"/>
      <c r="N74" s="85"/>
      <c r="O74" s="85"/>
      <c r="P74" s="85"/>
      <c r="Q74" s="85"/>
      <c r="R74" s="85"/>
      <c r="S74" s="85"/>
      <c r="T74" s="85"/>
      <c r="U74" s="85"/>
      <c r="V74" s="86"/>
      <c r="W74" s="84"/>
      <c r="X74" s="85"/>
      <c r="Y74" s="85"/>
      <c r="Z74" s="85"/>
      <c r="AA74" s="85"/>
      <c r="AB74" s="85"/>
      <c r="AC74" s="85"/>
      <c r="AD74" s="86"/>
      <c r="AE74" s="59"/>
      <c r="AF74" s="1"/>
    </row>
    <row r="75" spans="1:32" ht="15.75" thickBot="1" x14ac:dyDescent="0.3">
      <c r="A75" s="1"/>
      <c r="B75" s="1"/>
      <c r="C75" s="1"/>
      <c r="E75" s="72" t="s">
        <v>62</v>
      </c>
      <c r="F75" s="73"/>
      <c r="G75" s="108"/>
      <c r="H75" s="109"/>
      <c r="I75" s="109"/>
      <c r="J75" s="109"/>
      <c r="K75" s="109"/>
      <c r="L75" s="110"/>
      <c r="M75" s="84"/>
      <c r="N75" s="85"/>
      <c r="O75" s="85"/>
      <c r="P75" s="85"/>
      <c r="Q75" s="85"/>
      <c r="R75" s="85"/>
      <c r="S75" s="85"/>
      <c r="T75" s="85"/>
      <c r="U75" s="85"/>
      <c r="V75" s="86"/>
      <c r="W75" s="84"/>
      <c r="X75" s="85"/>
      <c r="Y75" s="85"/>
      <c r="Z75" s="85"/>
      <c r="AA75" s="85"/>
      <c r="AB75" s="85"/>
      <c r="AC75" s="85"/>
      <c r="AD75" s="86"/>
      <c r="AE75" s="59"/>
      <c r="AF75" s="1"/>
    </row>
    <row r="76" spans="1:32" ht="15.75" thickBot="1" x14ac:dyDescent="0.3">
      <c r="A76" s="1"/>
      <c r="B76" s="1"/>
      <c r="C76" s="1"/>
      <c r="E76" s="72" t="s">
        <v>63</v>
      </c>
      <c r="F76" s="73"/>
      <c r="G76" s="108"/>
      <c r="H76" s="109"/>
      <c r="I76" s="109"/>
      <c r="J76" s="109"/>
      <c r="K76" s="109"/>
      <c r="L76" s="110"/>
      <c r="M76" s="84"/>
      <c r="N76" s="85"/>
      <c r="O76" s="85"/>
      <c r="P76" s="85"/>
      <c r="Q76" s="85"/>
      <c r="R76" s="85"/>
      <c r="S76" s="85"/>
      <c r="T76" s="85"/>
      <c r="U76" s="85"/>
      <c r="V76" s="86"/>
      <c r="W76" s="84"/>
      <c r="X76" s="85"/>
      <c r="Y76" s="85"/>
      <c r="Z76" s="85"/>
      <c r="AA76" s="85"/>
      <c r="AB76" s="85"/>
      <c r="AC76" s="85"/>
      <c r="AD76" s="86"/>
      <c r="AE76" s="59"/>
      <c r="AF76" s="1"/>
    </row>
    <row r="77" spans="1:32" ht="15.75" thickBot="1" x14ac:dyDescent="0.3">
      <c r="A77" s="1"/>
      <c r="B77" s="1"/>
      <c r="C77" s="1"/>
      <c r="E77" s="72" t="s">
        <v>64</v>
      </c>
      <c r="F77" s="73"/>
      <c r="G77" s="108"/>
      <c r="H77" s="109"/>
      <c r="I77" s="109"/>
      <c r="J77" s="109"/>
      <c r="K77" s="109"/>
      <c r="L77" s="110"/>
      <c r="M77" s="84"/>
      <c r="N77" s="85"/>
      <c r="O77" s="85"/>
      <c r="P77" s="85"/>
      <c r="Q77" s="85"/>
      <c r="R77" s="85"/>
      <c r="S77" s="85"/>
      <c r="T77" s="85"/>
      <c r="U77" s="85"/>
      <c r="V77" s="86"/>
      <c r="W77" s="84"/>
      <c r="X77" s="85"/>
      <c r="Y77" s="85"/>
      <c r="Z77" s="85"/>
      <c r="AA77" s="85"/>
      <c r="AB77" s="85"/>
      <c r="AC77" s="85"/>
      <c r="AD77" s="86"/>
      <c r="AE77" s="59"/>
      <c r="AF77" s="1"/>
    </row>
    <row r="78" spans="1:32" ht="15.75" thickBot="1" x14ac:dyDescent="0.3">
      <c r="A78" s="1"/>
      <c r="B78" s="1"/>
      <c r="C78" s="1"/>
      <c r="E78" s="72" t="s">
        <v>65</v>
      </c>
      <c r="F78" s="73"/>
      <c r="G78" s="108"/>
      <c r="H78" s="109"/>
      <c r="I78" s="109"/>
      <c r="J78" s="109"/>
      <c r="K78" s="109"/>
      <c r="L78" s="110"/>
      <c r="M78" s="84"/>
      <c r="N78" s="85"/>
      <c r="O78" s="85"/>
      <c r="P78" s="85"/>
      <c r="Q78" s="85"/>
      <c r="R78" s="85"/>
      <c r="S78" s="85"/>
      <c r="T78" s="85"/>
      <c r="U78" s="85"/>
      <c r="V78" s="86"/>
      <c r="W78" s="84"/>
      <c r="X78" s="85"/>
      <c r="Y78" s="85"/>
      <c r="Z78" s="85"/>
      <c r="AA78" s="85"/>
      <c r="AB78" s="85"/>
      <c r="AC78" s="85"/>
      <c r="AD78" s="86"/>
      <c r="AE78" s="59"/>
      <c r="AF78" s="1"/>
    </row>
    <row r="79" spans="1:32" ht="15.75" thickBot="1" x14ac:dyDescent="0.3">
      <c r="A79" s="1"/>
      <c r="B79" s="1"/>
      <c r="C79" s="1"/>
      <c r="E79" s="72" t="s">
        <v>66</v>
      </c>
      <c r="F79" s="73"/>
      <c r="G79" s="108"/>
      <c r="H79" s="109"/>
      <c r="I79" s="109"/>
      <c r="J79" s="109"/>
      <c r="K79" s="109"/>
      <c r="L79" s="110"/>
      <c r="M79" s="84"/>
      <c r="N79" s="85"/>
      <c r="O79" s="85"/>
      <c r="P79" s="85"/>
      <c r="Q79" s="85"/>
      <c r="R79" s="85"/>
      <c r="S79" s="85"/>
      <c r="T79" s="85"/>
      <c r="U79" s="85"/>
      <c r="V79" s="86"/>
      <c r="W79" s="84"/>
      <c r="X79" s="85"/>
      <c r="Y79" s="85"/>
      <c r="Z79" s="85"/>
      <c r="AA79" s="85"/>
      <c r="AB79" s="85"/>
      <c r="AC79" s="85"/>
      <c r="AD79" s="86"/>
      <c r="AE79" s="59"/>
      <c r="AF79" s="1"/>
    </row>
    <row r="80" spans="1:32" ht="15.75" thickBot="1" x14ac:dyDescent="0.3">
      <c r="A80" s="1"/>
      <c r="B80" s="1"/>
      <c r="C80" s="1"/>
      <c r="E80" s="72" t="s">
        <v>67</v>
      </c>
      <c r="F80" s="73"/>
      <c r="G80" s="108"/>
      <c r="H80" s="109"/>
      <c r="I80" s="109"/>
      <c r="J80" s="109"/>
      <c r="K80" s="109"/>
      <c r="L80" s="110"/>
      <c r="M80" s="84"/>
      <c r="N80" s="85"/>
      <c r="O80" s="85"/>
      <c r="P80" s="85"/>
      <c r="Q80" s="85"/>
      <c r="R80" s="85"/>
      <c r="S80" s="85"/>
      <c r="T80" s="85"/>
      <c r="U80" s="85"/>
      <c r="V80" s="86"/>
      <c r="W80" s="84"/>
      <c r="X80" s="85"/>
      <c r="Y80" s="85"/>
      <c r="Z80" s="85"/>
      <c r="AA80" s="85"/>
      <c r="AB80" s="85"/>
      <c r="AC80" s="85"/>
      <c r="AD80" s="86"/>
      <c r="AE80" s="59"/>
      <c r="AF80" s="1"/>
    </row>
    <row r="81" spans="1:32" ht="15.75" thickBot="1" x14ac:dyDescent="0.3">
      <c r="A81" s="1"/>
      <c r="B81" s="1"/>
      <c r="C81" s="1"/>
      <c r="E81" s="72" t="s">
        <v>68</v>
      </c>
      <c r="F81" s="73"/>
      <c r="G81" s="108"/>
      <c r="H81" s="109"/>
      <c r="I81" s="109"/>
      <c r="J81" s="109"/>
      <c r="K81" s="109"/>
      <c r="L81" s="110"/>
      <c r="M81" s="84"/>
      <c r="N81" s="85"/>
      <c r="O81" s="85"/>
      <c r="P81" s="85"/>
      <c r="Q81" s="85"/>
      <c r="R81" s="85"/>
      <c r="S81" s="85"/>
      <c r="T81" s="85"/>
      <c r="U81" s="85"/>
      <c r="V81" s="86"/>
      <c r="W81" s="84"/>
      <c r="X81" s="85"/>
      <c r="Y81" s="85"/>
      <c r="Z81" s="85"/>
      <c r="AA81" s="85"/>
      <c r="AB81" s="85"/>
      <c r="AC81" s="85"/>
      <c r="AD81" s="86"/>
      <c r="AE81" s="59"/>
      <c r="AF81" s="1"/>
    </row>
    <row r="82" spans="1:32" ht="15.75" thickBot="1" x14ac:dyDescent="0.3">
      <c r="A82" s="1"/>
      <c r="B82" s="1"/>
      <c r="C82" s="1"/>
      <c r="E82" s="111" t="s">
        <v>50</v>
      </c>
      <c r="F82" s="112"/>
      <c r="G82" s="112"/>
      <c r="H82" s="112"/>
      <c r="I82" s="112"/>
      <c r="J82" s="112"/>
      <c r="K82" s="112"/>
      <c r="L82" s="112"/>
      <c r="M82" s="112"/>
      <c r="N82" s="112"/>
      <c r="O82" s="112"/>
      <c r="P82" s="112"/>
      <c r="Q82" s="112"/>
      <c r="R82" s="112"/>
      <c r="S82" s="112"/>
      <c r="T82" s="112"/>
      <c r="U82" s="112"/>
      <c r="V82" s="112"/>
      <c r="W82" s="112"/>
      <c r="X82" s="112"/>
      <c r="Y82" s="112"/>
      <c r="Z82" s="112"/>
      <c r="AA82" s="112"/>
      <c r="AB82" s="112"/>
      <c r="AC82" s="112"/>
      <c r="AD82" s="113"/>
      <c r="AE82" s="59"/>
      <c r="AF82" s="1"/>
    </row>
    <row r="83" spans="1:32" x14ac:dyDescent="0.25">
      <c r="A83" s="1"/>
      <c r="B83" s="1"/>
      <c r="C83" s="1"/>
      <c r="E83" s="114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  <c r="AA83" s="115"/>
      <c r="AB83" s="115"/>
      <c r="AC83" s="115"/>
      <c r="AD83" s="116"/>
      <c r="AE83" s="59"/>
      <c r="AF83" s="1"/>
    </row>
    <row r="84" spans="1:32" x14ac:dyDescent="0.25">
      <c r="A84" s="1"/>
      <c r="B84" s="1"/>
      <c r="C84" s="1"/>
      <c r="E84" s="117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118"/>
      <c r="T84" s="118"/>
      <c r="U84" s="118"/>
      <c r="V84" s="118"/>
      <c r="W84" s="118"/>
      <c r="X84" s="118"/>
      <c r="Y84" s="118"/>
      <c r="Z84" s="118"/>
      <c r="AA84" s="118"/>
      <c r="AB84" s="118"/>
      <c r="AC84" s="118"/>
      <c r="AD84" s="119"/>
      <c r="AE84" s="59"/>
      <c r="AF84" s="1"/>
    </row>
    <row r="85" spans="1:32" x14ac:dyDescent="0.25">
      <c r="A85" s="1"/>
      <c r="B85" s="1"/>
      <c r="C85" s="1"/>
      <c r="E85" s="117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118"/>
      <c r="T85" s="118"/>
      <c r="U85" s="118"/>
      <c r="V85" s="118"/>
      <c r="W85" s="118"/>
      <c r="X85" s="118"/>
      <c r="Y85" s="118"/>
      <c r="Z85" s="118"/>
      <c r="AA85" s="118"/>
      <c r="AB85" s="118"/>
      <c r="AC85" s="118"/>
      <c r="AD85" s="119"/>
      <c r="AE85" s="59"/>
      <c r="AF85" s="1"/>
    </row>
    <row r="86" spans="1:32" ht="15.75" thickBot="1" x14ac:dyDescent="0.3">
      <c r="A86" s="1"/>
      <c r="B86" s="1"/>
      <c r="C86" s="1"/>
      <c r="E86" s="120"/>
      <c r="F86" s="121"/>
      <c r="G86" s="121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2"/>
      <c r="AE86" s="59"/>
      <c r="AF86" s="1"/>
    </row>
    <row r="87" spans="1:32" x14ac:dyDescent="0.25">
      <c r="A87" s="1"/>
      <c r="B87" s="1"/>
      <c r="C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60"/>
      <c r="AF87" s="1"/>
    </row>
    <row r="88" spans="1:32" x14ac:dyDescent="0.25">
      <c r="A88" s="1"/>
      <c r="B88" s="1"/>
      <c r="C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</row>
    <row r="89" spans="1:32" x14ac:dyDescent="0.25">
      <c r="A89" s="1"/>
      <c r="B89" s="1"/>
      <c r="C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</row>
    <row r="90" spans="1:32" x14ac:dyDescent="0.25">
      <c r="A90" s="1"/>
      <c r="B90" s="1"/>
      <c r="C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</row>
    <row r="91" spans="1:32" x14ac:dyDescent="0.25">
      <c r="A91" s="1"/>
      <c r="B91" s="1"/>
      <c r="C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</row>
  </sheetData>
  <mergeCells count="82">
    <mergeCell ref="W79:AD79"/>
    <mergeCell ref="W80:AD80"/>
    <mergeCell ref="W81:AD81"/>
    <mergeCell ref="E1:AD2"/>
    <mergeCell ref="E3:AD3"/>
    <mergeCell ref="G80:L80"/>
    <mergeCell ref="G81:L81"/>
    <mergeCell ref="M74:V74"/>
    <mergeCell ref="M75:V75"/>
    <mergeCell ref="M76:V76"/>
    <mergeCell ref="M77:V77"/>
    <mergeCell ref="M78:V78"/>
    <mergeCell ref="M79:V79"/>
    <mergeCell ref="M80:V80"/>
    <mergeCell ref="M81:V81"/>
    <mergeCell ref="W74:AD74"/>
    <mergeCell ref="W75:AD75"/>
    <mergeCell ref="W76:AD76"/>
    <mergeCell ref="W77:AD77"/>
    <mergeCell ref="W78:AD78"/>
    <mergeCell ref="M73:V73"/>
    <mergeCell ref="G75:L75"/>
    <mergeCell ref="E80:F80"/>
    <mergeCell ref="E81:F81"/>
    <mergeCell ref="E75:F75"/>
    <mergeCell ref="E76:F76"/>
    <mergeCell ref="E77:F77"/>
    <mergeCell ref="E78:F78"/>
    <mergeCell ref="E79:F79"/>
    <mergeCell ref="G76:L76"/>
    <mergeCell ref="G77:L77"/>
    <mergeCell ref="G78:L78"/>
    <mergeCell ref="G79:L79"/>
    <mergeCell ref="E82:AD82"/>
    <mergeCell ref="E83:AD83"/>
    <mergeCell ref="E84:AD84"/>
    <mergeCell ref="E85:AD85"/>
    <mergeCell ref="E86:AD86"/>
    <mergeCell ref="E68:AD68"/>
    <mergeCell ref="E69:AD72"/>
    <mergeCell ref="E73:F73"/>
    <mergeCell ref="E74:F74"/>
    <mergeCell ref="W73:AD73"/>
    <mergeCell ref="G73:L73"/>
    <mergeCell ref="G74:L74"/>
    <mergeCell ref="E65:G67"/>
    <mergeCell ref="H65:AD65"/>
    <mergeCell ref="H66:AD66"/>
    <mergeCell ref="H67:AD67"/>
    <mergeCell ref="H60:AD60"/>
    <mergeCell ref="E60:G64"/>
    <mergeCell ref="H61:AD61"/>
    <mergeCell ref="H62:AD62"/>
    <mergeCell ref="H63:AD63"/>
    <mergeCell ref="H64:AD64"/>
    <mergeCell ref="E55:G55"/>
    <mergeCell ref="E56:G56"/>
    <mergeCell ref="E57:G59"/>
    <mergeCell ref="H55:AD55"/>
    <mergeCell ref="H56:AD56"/>
    <mergeCell ref="H57:AD57"/>
    <mergeCell ref="H58:AD58"/>
    <mergeCell ref="H59:AD59"/>
    <mergeCell ref="L51:M51"/>
    <mergeCell ref="J15:K15"/>
    <mergeCell ref="L15:M15"/>
    <mergeCell ref="J45:K45"/>
    <mergeCell ref="L45:M45"/>
    <mergeCell ref="J35:K35"/>
    <mergeCell ref="L35:M35"/>
    <mergeCell ref="L30:M30"/>
    <mergeCell ref="J30:K30"/>
    <mergeCell ref="J40:K40"/>
    <mergeCell ref="L40:M40"/>
    <mergeCell ref="J50:K50"/>
    <mergeCell ref="L50:M50"/>
    <mergeCell ref="J10:K10"/>
    <mergeCell ref="L10:M10"/>
    <mergeCell ref="J20:K20"/>
    <mergeCell ref="L20:M20"/>
    <mergeCell ref="J25:K25"/>
    <mergeCell ref="L25:M25"/>
  </mergeCells>
  <conditionalFormatting sqref="H6:H7 H15 H20 H25 H30 H35 H40 H45 H10 H51">
    <cfRule type="cellIs" dxfId="58" priority="27" operator="equal">
      <formula>"DNR"</formula>
    </cfRule>
  </conditionalFormatting>
  <conditionalFormatting sqref="H11">
    <cfRule type="cellIs" dxfId="57" priority="26" operator="equal">
      <formula>"DNR"</formula>
    </cfRule>
  </conditionalFormatting>
  <conditionalFormatting sqref="H16">
    <cfRule type="cellIs" dxfId="56" priority="25" operator="equal">
      <formula>"DNR"</formula>
    </cfRule>
  </conditionalFormatting>
  <conditionalFormatting sqref="H21">
    <cfRule type="cellIs" dxfId="55" priority="24" operator="equal">
      <formula>"DNR"</formula>
    </cfRule>
  </conditionalFormatting>
  <conditionalFormatting sqref="H26">
    <cfRule type="cellIs" dxfId="54" priority="23" operator="equal">
      <formula>"DNR"</formula>
    </cfRule>
  </conditionalFormatting>
  <conditionalFormatting sqref="H31">
    <cfRule type="cellIs" dxfId="53" priority="22" operator="equal">
      <formula>"DNR"</formula>
    </cfRule>
  </conditionalFormatting>
  <conditionalFormatting sqref="H36">
    <cfRule type="cellIs" dxfId="52" priority="21" operator="equal">
      <formula>"DNR"</formula>
    </cfRule>
  </conditionalFormatting>
  <conditionalFormatting sqref="H41">
    <cfRule type="cellIs" dxfId="51" priority="20" operator="equal">
      <formula>"DNR"</formula>
    </cfRule>
  </conditionalFormatting>
  <conditionalFormatting sqref="H8:H9">
    <cfRule type="cellIs" dxfId="50" priority="19" operator="equal">
      <formula>"DNR"</formula>
    </cfRule>
  </conditionalFormatting>
  <conditionalFormatting sqref="H12">
    <cfRule type="cellIs" dxfId="49" priority="18" operator="equal">
      <formula>"DNR"</formula>
    </cfRule>
  </conditionalFormatting>
  <conditionalFormatting sqref="H13:H14">
    <cfRule type="cellIs" dxfId="48" priority="17" operator="equal">
      <formula>"DNR"</formula>
    </cfRule>
  </conditionalFormatting>
  <conditionalFormatting sqref="H17">
    <cfRule type="cellIs" dxfId="47" priority="16" operator="equal">
      <formula>"DNR"</formula>
    </cfRule>
  </conditionalFormatting>
  <conditionalFormatting sqref="H18:H19">
    <cfRule type="cellIs" dxfId="46" priority="15" operator="equal">
      <formula>"DNR"</formula>
    </cfRule>
  </conditionalFormatting>
  <conditionalFormatting sqref="H22">
    <cfRule type="cellIs" dxfId="45" priority="14" operator="equal">
      <formula>"DNR"</formula>
    </cfRule>
  </conditionalFormatting>
  <conditionalFormatting sqref="H23:H24">
    <cfRule type="cellIs" dxfId="44" priority="13" operator="equal">
      <formula>"DNR"</formula>
    </cfRule>
  </conditionalFormatting>
  <conditionalFormatting sqref="H27">
    <cfRule type="cellIs" dxfId="43" priority="12" operator="equal">
      <formula>"DNR"</formula>
    </cfRule>
  </conditionalFormatting>
  <conditionalFormatting sqref="H28:H29">
    <cfRule type="cellIs" dxfId="42" priority="11" operator="equal">
      <formula>"DNR"</formula>
    </cfRule>
  </conditionalFormatting>
  <conditionalFormatting sqref="H32">
    <cfRule type="cellIs" dxfId="41" priority="10" operator="equal">
      <formula>"DNR"</formula>
    </cfRule>
  </conditionalFormatting>
  <conditionalFormatting sqref="H33:H34">
    <cfRule type="cellIs" dxfId="40" priority="9" operator="equal">
      <formula>"DNR"</formula>
    </cfRule>
  </conditionalFormatting>
  <conditionalFormatting sqref="H37">
    <cfRule type="cellIs" dxfId="39" priority="8" operator="equal">
      <formula>"DNR"</formula>
    </cfRule>
  </conditionalFormatting>
  <conditionalFormatting sqref="H38:H39">
    <cfRule type="cellIs" dxfId="38" priority="7" operator="equal">
      <formula>"DNR"</formula>
    </cfRule>
  </conditionalFormatting>
  <conditionalFormatting sqref="H42">
    <cfRule type="cellIs" dxfId="37" priority="6" operator="equal">
      <formula>"DNR"</formula>
    </cfRule>
  </conditionalFormatting>
  <conditionalFormatting sqref="H43:H44">
    <cfRule type="cellIs" dxfId="36" priority="5" operator="equal">
      <formula>"DNR"</formula>
    </cfRule>
  </conditionalFormatting>
  <conditionalFormatting sqref="H50">
    <cfRule type="cellIs" dxfId="35" priority="4" operator="equal">
      <formula>"DNR"</formula>
    </cfRule>
  </conditionalFormatting>
  <conditionalFormatting sqref="H46">
    <cfRule type="cellIs" dxfId="34" priority="3" operator="equal">
      <formula>"DNR"</formula>
    </cfRule>
  </conditionalFormatting>
  <conditionalFormatting sqref="H47">
    <cfRule type="cellIs" dxfId="33" priority="2" operator="equal">
      <formula>"DNR"</formula>
    </cfRule>
  </conditionalFormatting>
  <conditionalFormatting sqref="H48:H49">
    <cfRule type="cellIs" dxfId="32" priority="1" operator="equal">
      <formula>"DNR"</formula>
    </cfRule>
  </conditionalFormatting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42730-3EC5-41DD-B50D-CA0F57424138}">
  <sheetPr codeName="Sheet4"/>
  <dimension ref="A1:AF94"/>
  <sheetViews>
    <sheetView workbookViewId="0">
      <pane ySplit="4" topLeftCell="A5" activePane="bottomLeft" state="frozen"/>
      <selection pane="bottomLeft" activeCell="E37" sqref="E37"/>
    </sheetView>
  </sheetViews>
  <sheetFormatPr defaultColWidth="9.140625" defaultRowHeight="15" x14ac:dyDescent="0.25"/>
  <cols>
    <col min="1" max="1" width="2.85546875" style="3" customWidth="1"/>
    <col min="2" max="3" width="2.85546875" style="3" hidden="1" customWidth="1"/>
    <col min="4" max="4" width="9.5703125" style="3" hidden="1" customWidth="1"/>
    <col min="5" max="5" width="10" style="3" customWidth="1"/>
    <col min="6" max="6" width="9.28515625" style="3" customWidth="1"/>
    <col min="7" max="7" width="30" style="3" customWidth="1"/>
    <col min="8" max="8" width="7" style="3" bestFit="1" customWidth="1"/>
    <col min="9" max="9" width="10.7109375" style="3" bestFit="1" customWidth="1"/>
    <col min="10" max="11" width="6.42578125" style="3" customWidth="1"/>
    <col min="12" max="13" width="10" style="3" customWidth="1"/>
    <col min="14" max="15" width="9.28515625" style="3" customWidth="1"/>
    <col min="16" max="19" width="7.140625" style="3" customWidth="1"/>
    <col min="20" max="20" width="8.5703125" style="3" customWidth="1"/>
    <col min="21" max="23" width="10" style="3" customWidth="1"/>
    <col min="24" max="24" width="7.140625" style="3" customWidth="1"/>
    <col min="25" max="26" width="10" style="3" customWidth="1"/>
    <col min="27" max="27" width="7.85546875" style="3" customWidth="1"/>
    <col min="28" max="31" width="10.7109375" style="3" hidden="1" customWidth="1"/>
    <col min="32" max="32" width="2.85546875" style="3" customWidth="1"/>
    <col min="33" max="16384" width="9.140625" style="3"/>
  </cols>
  <sheetData>
    <row r="1" spans="1:32" ht="15" customHeight="1" x14ac:dyDescent="0.25">
      <c r="A1" s="1"/>
      <c r="B1" s="1"/>
      <c r="C1" s="1"/>
      <c r="D1" s="1"/>
      <c r="E1" s="70" t="s">
        <v>0</v>
      </c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45"/>
      <c r="AF1" s="1"/>
    </row>
    <row r="2" spans="1:32" ht="15" customHeight="1" x14ac:dyDescent="0.25">
      <c r="A2" s="1"/>
      <c r="B2" s="1"/>
      <c r="C2" s="1"/>
      <c r="D2" s="1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45"/>
      <c r="AF2" s="1"/>
    </row>
    <row r="3" spans="1:32" x14ac:dyDescent="0.25">
      <c r="A3" s="1"/>
      <c r="B3" s="1"/>
      <c r="C3" s="1"/>
      <c r="D3" s="1"/>
      <c r="E3" s="71">
        <f>Original!G4</f>
        <v>44901</v>
      </c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57"/>
      <c r="AF3" s="1"/>
    </row>
    <row r="4" spans="1:32" s="4" customFormat="1" ht="45" x14ac:dyDescent="0.25">
      <c r="A4" s="2"/>
      <c r="B4" s="2"/>
      <c r="C4" s="2"/>
      <c r="D4" s="24" t="s">
        <v>44</v>
      </c>
      <c r="E4" s="24" t="s">
        <v>1</v>
      </c>
      <c r="F4" s="24" t="s">
        <v>2</v>
      </c>
      <c r="G4" s="24" t="s">
        <v>3</v>
      </c>
      <c r="H4" s="24" t="s">
        <v>4</v>
      </c>
      <c r="I4" s="24" t="s">
        <v>38</v>
      </c>
      <c r="J4" s="24" t="s">
        <v>6</v>
      </c>
      <c r="K4" s="24" t="s">
        <v>7</v>
      </c>
      <c r="L4" s="24" t="s">
        <v>11</v>
      </c>
      <c r="M4" s="24" t="s">
        <v>12</v>
      </c>
      <c r="N4" s="24" t="s">
        <v>13</v>
      </c>
      <c r="O4" s="24" t="s">
        <v>14</v>
      </c>
      <c r="P4" s="24" t="s">
        <v>8</v>
      </c>
      <c r="Q4" s="24" t="s">
        <v>39</v>
      </c>
      <c r="R4" s="24" t="s">
        <v>40</v>
      </c>
      <c r="S4" s="25" t="s">
        <v>5</v>
      </c>
      <c r="T4" s="24" t="s">
        <v>51</v>
      </c>
      <c r="U4" s="24" t="s">
        <v>15</v>
      </c>
      <c r="V4" s="24" t="s">
        <v>41</v>
      </c>
      <c r="W4" s="24" t="s">
        <v>16</v>
      </c>
      <c r="X4" s="24" t="s">
        <v>9</v>
      </c>
      <c r="Y4" s="24" t="s">
        <v>17</v>
      </c>
      <c r="Z4" s="24" t="s">
        <v>18</v>
      </c>
      <c r="AA4" s="25" t="s">
        <v>10</v>
      </c>
      <c r="AB4" s="24" t="s">
        <v>52</v>
      </c>
      <c r="AC4" s="24" t="s">
        <v>53</v>
      </c>
      <c r="AD4" s="24" t="s">
        <v>54</v>
      </c>
      <c r="AE4" s="24" t="s">
        <v>106</v>
      </c>
      <c r="AF4" s="2"/>
    </row>
    <row r="5" spans="1:32" x14ac:dyDescent="0.25">
      <c r="A5" s="1"/>
      <c r="B5" s="1"/>
      <c r="C5" s="1"/>
      <c r="D5" s="9"/>
      <c r="E5" s="9" t="s">
        <v>35</v>
      </c>
      <c r="F5" s="33" t="s">
        <v>36</v>
      </c>
      <c r="G5" s="51">
        <v>0</v>
      </c>
      <c r="H5" s="51">
        <v>0</v>
      </c>
      <c r="I5" s="51">
        <v>0</v>
      </c>
      <c r="J5" s="51">
        <v>0</v>
      </c>
      <c r="K5" s="51">
        <v>0</v>
      </c>
      <c r="L5" s="51">
        <v>0</v>
      </c>
      <c r="M5" s="51">
        <v>0</v>
      </c>
      <c r="N5" s="51">
        <v>0</v>
      </c>
      <c r="O5" s="51">
        <v>0</v>
      </c>
      <c r="P5" s="51">
        <v>0</v>
      </c>
      <c r="Q5" s="51">
        <v>0</v>
      </c>
      <c r="R5" s="51">
        <v>0</v>
      </c>
      <c r="S5" s="51">
        <v>0</v>
      </c>
      <c r="T5" s="51">
        <v>0</v>
      </c>
      <c r="U5" s="51">
        <v>0</v>
      </c>
      <c r="V5" s="51">
        <v>0</v>
      </c>
      <c r="W5" s="51">
        <v>0</v>
      </c>
      <c r="X5" s="51">
        <v>0</v>
      </c>
      <c r="Y5" s="51">
        <v>0</v>
      </c>
      <c r="Z5" s="51">
        <v>0</v>
      </c>
      <c r="AA5" s="52">
        <v>0</v>
      </c>
      <c r="AB5" s="10"/>
      <c r="AC5" s="10"/>
      <c r="AD5" s="11"/>
      <c r="AE5" s="11" t="b">
        <f>IF(OR(F5="",H5="DNR"), "TRUE", FALSE)</f>
        <v>0</v>
      </c>
      <c r="AF5" s="1"/>
    </row>
    <row r="6" spans="1:32" x14ac:dyDescent="0.25">
      <c r="A6" s="1"/>
      <c r="B6" s="1"/>
      <c r="C6" s="1"/>
      <c r="D6" s="14"/>
      <c r="E6" s="14" t="s">
        <v>22</v>
      </c>
      <c r="F6" s="18" t="s">
        <v>21</v>
      </c>
      <c r="G6" s="16" t="s">
        <v>37</v>
      </c>
      <c r="H6" s="54">
        <f>IF(H7="","DNR",0)</f>
        <v>0</v>
      </c>
      <c r="I6" s="53">
        <v>0</v>
      </c>
      <c r="J6" s="54">
        <v>0</v>
      </c>
      <c r="K6" s="54">
        <v>0</v>
      </c>
      <c r="L6" s="54">
        <v>0</v>
      </c>
      <c r="M6" s="54">
        <v>0</v>
      </c>
      <c r="N6" s="54">
        <f>IF(F7="","DNR",0)</f>
        <v>0</v>
      </c>
      <c r="O6" s="54">
        <v>0</v>
      </c>
      <c r="P6" s="54">
        <v>0</v>
      </c>
      <c r="Q6" s="54">
        <v>0</v>
      </c>
      <c r="R6" s="54">
        <v>0</v>
      </c>
      <c r="S6" s="54">
        <v>0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5">
        <v>0</v>
      </c>
      <c r="AB6" s="16"/>
      <c r="AC6" s="16"/>
      <c r="AD6" s="17"/>
      <c r="AE6" s="17" t="b">
        <f t="shared" ref="AE6:AE53" si="0">IF(OR(F6="",H6="DNR"), "TRUE", FALSE)</f>
        <v>0</v>
      </c>
      <c r="AF6" s="1"/>
    </row>
    <row r="7" spans="1:32" x14ac:dyDescent="0.25">
      <c r="A7" s="1"/>
      <c r="B7" s="1"/>
      <c r="C7" s="1"/>
      <c r="D7" s="5" t="str">
        <f>$F$5&amp;E7</f>
        <v>C        FS01</v>
      </c>
      <c r="E7" s="5" t="str">
        <f>'Both Shifts'!E54</f>
        <v xml:space="preserve">        FS01</v>
      </c>
      <c r="F7" s="5">
        <f>'Both Shifts'!F54</f>
        <v>30008035</v>
      </c>
      <c r="G7" s="5" t="str">
        <f>'Both Shifts'!G54</f>
        <v>SEAG GIN 80P 12/750 ND US</v>
      </c>
      <c r="H7" s="5">
        <f>'Both Shifts'!H54</f>
        <v>408915</v>
      </c>
      <c r="I7" s="6">
        <f>'Both Shifts'!I54</f>
        <v>44901</v>
      </c>
      <c r="J7" s="7">
        <f>'Both Shifts'!J54</f>
        <v>0.64583333333333337</v>
      </c>
      <c r="K7" s="7">
        <f>'Both Shifts'!K54</f>
        <v>0.14583333333333334</v>
      </c>
      <c r="L7" s="8">
        <f>'Both Shifts'!L54</f>
        <v>8</v>
      </c>
      <c r="M7" s="8">
        <f>'Both Shifts'!M54</f>
        <v>12</v>
      </c>
      <c r="N7" s="64">
        <f>'Both Shifts'!N54</f>
        <v>4261</v>
      </c>
      <c r="O7" s="64">
        <f>'Both Shifts'!O54</f>
        <v>8181.25</v>
      </c>
      <c r="P7" s="64">
        <f>'Both Shifts'!P54</f>
        <v>720</v>
      </c>
      <c r="Q7" s="64">
        <f>'Both Shifts'!Q54</f>
        <v>95</v>
      </c>
      <c r="R7" s="64">
        <f>'Both Shifts'!R54</f>
        <v>0</v>
      </c>
      <c r="S7" s="64">
        <f>'Both Shifts'!S54</f>
        <v>0</v>
      </c>
      <c r="T7" s="64">
        <f>'Both Shifts'!T54</f>
        <v>30</v>
      </c>
      <c r="U7" s="64">
        <f>'Both Shifts'!U54</f>
        <v>0</v>
      </c>
      <c r="V7" s="64">
        <f>'Both Shifts'!V54</f>
        <v>0</v>
      </c>
      <c r="W7" s="64">
        <f>'Both Shifts'!W54</f>
        <v>10</v>
      </c>
      <c r="X7" s="64">
        <f>'Both Shifts'!X54</f>
        <v>595</v>
      </c>
      <c r="Y7" s="65">
        <f>'Both Shifts'!Y54</f>
        <v>165</v>
      </c>
      <c r="Z7" s="8" t="str">
        <f>'Both Shifts'!Z54</f>
        <v/>
      </c>
      <c r="AA7" s="8">
        <f>'Both Shifts'!AA54</f>
        <v>52.08</v>
      </c>
      <c r="AB7" s="23"/>
      <c r="AC7" s="8"/>
      <c r="AD7" s="8"/>
      <c r="AE7" s="8" t="b">
        <f t="shared" si="0"/>
        <v>0</v>
      </c>
      <c r="AF7" s="1"/>
    </row>
    <row r="8" spans="1:32" x14ac:dyDescent="0.25">
      <c r="A8" s="1"/>
      <c r="B8" s="1"/>
      <c r="C8" s="1"/>
      <c r="D8" s="5" t="str">
        <f>$F$5&amp;E8</f>
        <v>C        FS01</v>
      </c>
      <c r="E8" s="5" t="str">
        <f>'Both Shifts'!E55</f>
        <v xml:space="preserve">        FS01</v>
      </c>
      <c r="F8" s="5" t="str">
        <f>'Both Shifts'!F55</f>
        <v/>
      </c>
      <c r="G8" s="5" t="str">
        <f>'Both Shifts'!G55</f>
        <v/>
      </c>
      <c r="H8" s="5" t="str">
        <f>'Both Shifts'!H55</f>
        <v/>
      </c>
      <c r="I8" s="6" t="str">
        <f>'Both Shifts'!I55</f>
        <v/>
      </c>
      <c r="J8" s="7" t="str">
        <f>'Both Shifts'!J55</f>
        <v/>
      </c>
      <c r="K8" s="7" t="str">
        <f>'Both Shifts'!K55</f>
        <v/>
      </c>
      <c r="L8" s="8" t="str">
        <f>'Both Shifts'!L55</f>
        <v/>
      </c>
      <c r="M8" s="8" t="str">
        <f>'Both Shifts'!M55</f>
        <v/>
      </c>
      <c r="N8" s="64" t="str">
        <f>'Both Shifts'!N55</f>
        <v/>
      </c>
      <c r="O8" s="64" t="str">
        <f>'Both Shifts'!O55</f>
        <v/>
      </c>
      <c r="P8" s="64" t="str">
        <f>'Both Shifts'!P55</f>
        <v/>
      </c>
      <c r="Q8" s="64" t="str">
        <f>'Both Shifts'!Q55</f>
        <v/>
      </c>
      <c r="R8" s="64" t="str">
        <f>'Both Shifts'!R55</f>
        <v/>
      </c>
      <c r="S8" s="64" t="str">
        <f>'Both Shifts'!S55</f>
        <v/>
      </c>
      <c r="T8" s="64" t="str">
        <f>'Both Shifts'!T55</f>
        <v/>
      </c>
      <c r="U8" s="64" t="str">
        <f>'Both Shifts'!U55</f>
        <v/>
      </c>
      <c r="V8" s="64" t="str">
        <f>'Both Shifts'!V55</f>
        <v/>
      </c>
      <c r="W8" s="64" t="str">
        <f>'Both Shifts'!W55</f>
        <v/>
      </c>
      <c r="X8" s="64" t="str">
        <f>'Both Shifts'!X55</f>
        <v/>
      </c>
      <c r="Y8" s="65" t="str">
        <f>'Both Shifts'!Y55</f>
        <v/>
      </c>
      <c r="Z8" s="8" t="str">
        <f>'Both Shifts'!Z55</f>
        <v/>
      </c>
      <c r="AA8" s="8" t="str">
        <f>'Both Shifts'!AA55</f>
        <v/>
      </c>
      <c r="AB8" s="23"/>
      <c r="AC8" s="8"/>
      <c r="AD8" s="8"/>
      <c r="AE8" s="8" t="str">
        <f t="shared" si="0"/>
        <v>TRUE</v>
      </c>
      <c r="AF8" s="1"/>
    </row>
    <row r="9" spans="1:32" x14ac:dyDescent="0.25">
      <c r="A9" s="1"/>
      <c r="B9" s="1"/>
      <c r="C9" s="1"/>
      <c r="D9" s="5" t="str">
        <f t="shared" ref="D9" si="1">$F$5&amp;E9</f>
        <v>C        FS01</v>
      </c>
      <c r="E9" s="5" t="str">
        <f>'Both Shifts'!E56</f>
        <v xml:space="preserve">        FS01</v>
      </c>
      <c r="F9" s="5" t="str">
        <f>'Both Shifts'!F56</f>
        <v/>
      </c>
      <c r="G9" s="5" t="str">
        <f>'Both Shifts'!G56</f>
        <v/>
      </c>
      <c r="H9" s="5" t="str">
        <f>'Both Shifts'!H56</f>
        <v/>
      </c>
      <c r="I9" s="6" t="str">
        <f>'Both Shifts'!I56</f>
        <v/>
      </c>
      <c r="J9" s="7" t="str">
        <f>'Both Shifts'!J56</f>
        <v/>
      </c>
      <c r="K9" s="7" t="str">
        <f>'Both Shifts'!K56</f>
        <v/>
      </c>
      <c r="L9" s="8" t="str">
        <f>'Both Shifts'!L56</f>
        <v/>
      </c>
      <c r="M9" s="8" t="str">
        <f>'Both Shifts'!M56</f>
        <v/>
      </c>
      <c r="N9" s="64" t="str">
        <f>'Both Shifts'!N56</f>
        <v/>
      </c>
      <c r="O9" s="64" t="str">
        <f>'Both Shifts'!O56</f>
        <v/>
      </c>
      <c r="P9" s="64" t="str">
        <f>'Both Shifts'!P56</f>
        <v/>
      </c>
      <c r="Q9" s="64" t="str">
        <f>'Both Shifts'!Q56</f>
        <v/>
      </c>
      <c r="R9" s="64" t="str">
        <f>'Both Shifts'!R56</f>
        <v/>
      </c>
      <c r="S9" s="64" t="str">
        <f>'Both Shifts'!S56</f>
        <v/>
      </c>
      <c r="T9" s="64" t="str">
        <f>'Both Shifts'!T56</f>
        <v/>
      </c>
      <c r="U9" s="64" t="str">
        <f>'Both Shifts'!U56</f>
        <v/>
      </c>
      <c r="V9" s="64" t="str">
        <f>'Both Shifts'!V56</f>
        <v/>
      </c>
      <c r="W9" s="64" t="str">
        <f>'Both Shifts'!W56</f>
        <v/>
      </c>
      <c r="X9" s="64" t="str">
        <f>'Both Shifts'!X56</f>
        <v/>
      </c>
      <c r="Y9" s="65" t="str">
        <f>'Both Shifts'!Y56</f>
        <v/>
      </c>
      <c r="Z9" s="8" t="str">
        <f>'Both Shifts'!Z56</f>
        <v/>
      </c>
      <c r="AA9" s="8" t="str">
        <f>'Both Shifts'!AA56</f>
        <v/>
      </c>
      <c r="AB9" s="23"/>
      <c r="AC9" s="8"/>
      <c r="AD9" s="8"/>
      <c r="AE9" s="8" t="str">
        <f t="shared" si="0"/>
        <v>TRUE</v>
      </c>
      <c r="AF9" s="1"/>
    </row>
    <row r="10" spans="1:32" x14ac:dyDescent="0.25">
      <c r="A10" s="1"/>
      <c r="B10" s="1"/>
      <c r="C10" s="1"/>
      <c r="D10" s="12"/>
      <c r="E10" s="12"/>
      <c r="F10" s="62">
        <f>IF(F7="","",0)</f>
        <v>0</v>
      </c>
      <c r="G10" s="13"/>
      <c r="H10" s="34" t="str">
        <f>$F$5</f>
        <v>C</v>
      </c>
      <c r="I10" s="34" t="str">
        <f>$F$5&amp;J10</f>
        <v>C        FS01</v>
      </c>
      <c r="J10" s="67" t="str">
        <f>F6</f>
        <v xml:space="preserve">        FS01</v>
      </c>
      <c r="K10" s="67"/>
      <c r="L10" s="67" t="s">
        <v>19</v>
      </c>
      <c r="M10" s="67"/>
      <c r="N10" s="42">
        <f>SUMIF($D:$D,$I10,N:N)</f>
        <v>4261</v>
      </c>
      <c r="O10" s="42">
        <f>SUMIF($D:$D,$I10,O:O)</f>
        <v>8181.25</v>
      </c>
      <c r="P10" s="42">
        <f>SUMIF($D:$D,$I10,P:P)</f>
        <v>720</v>
      </c>
      <c r="Q10" s="42">
        <f>SUMIF($D:$D,$I10,Q:Q)</f>
        <v>95</v>
      </c>
      <c r="R10" s="42">
        <f>SUMIF($D:$D,$I10,R:R)</f>
        <v>0</v>
      </c>
      <c r="S10" s="42">
        <f>SUMIF($D:$D,$I10,S:S)</f>
        <v>0</v>
      </c>
      <c r="T10" s="42">
        <f>SUMIF($D:$D,$I10,T:T)</f>
        <v>30</v>
      </c>
      <c r="U10" s="42"/>
      <c r="V10" s="42">
        <f>SUMIF($D:$D,$I10,V:V)</f>
        <v>0</v>
      </c>
      <c r="W10" s="42">
        <f>SUMIF($D:$D,$I10,W:W)</f>
        <v>10</v>
      </c>
      <c r="X10" s="42">
        <f>SUMIF($D:$D,$I10,X:X)</f>
        <v>595</v>
      </c>
      <c r="Y10" s="26"/>
      <c r="Z10" s="26"/>
      <c r="AA10" s="27">
        <f>N10/O10*100</f>
        <v>52.082505729564552</v>
      </c>
      <c r="AB10" s="35"/>
      <c r="AC10" s="26"/>
      <c r="AD10" s="27"/>
      <c r="AE10" s="27" t="b">
        <f t="shared" si="0"/>
        <v>0</v>
      </c>
      <c r="AF10" s="1"/>
    </row>
    <row r="11" spans="1:32" x14ac:dyDescent="0.25">
      <c r="A11" s="1"/>
      <c r="B11" s="1"/>
      <c r="C11" s="1"/>
      <c r="D11" s="14"/>
      <c r="E11" s="14" t="s">
        <v>22</v>
      </c>
      <c r="F11" s="18" t="s">
        <v>23</v>
      </c>
      <c r="G11" s="16" t="s">
        <v>24</v>
      </c>
      <c r="H11" s="54">
        <f>IF(H12="","DNR",0)</f>
        <v>0</v>
      </c>
      <c r="I11" s="53">
        <v>0</v>
      </c>
      <c r="J11" s="54">
        <v>0</v>
      </c>
      <c r="K11" s="54">
        <v>0</v>
      </c>
      <c r="L11" s="54">
        <v>0</v>
      </c>
      <c r="M11" s="54">
        <v>0</v>
      </c>
      <c r="N11" s="54">
        <f>IF(F12="","DNR",0)</f>
        <v>0</v>
      </c>
      <c r="O11" s="54">
        <v>0</v>
      </c>
      <c r="P11" s="54">
        <v>0</v>
      </c>
      <c r="Q11" s="54">
        <v>0</v>
      </c>
      <c r="R11" s="54">
        <v>0</v>
      </c>
      <c r="S11" s="54">
        <v>0</v>
      </c>
      <c r="T11" s="54">
        <v>0</v>
      </c>
      <c r="U11" s="54">
        <v>0</v>
      </c>
      <c r="V11" s="54">
        <v>0</v>
      </c>
      <c r="W11" s="54">
        <v>0</v>
      </c>
      <c r="X11" s="54">
        <v>0</v>
      </c>
      <c r="Y11" s="54">
        <v>0</v>
      </c>
      <c r="Z11" s="54">
        <v>0</v>
      </c>
      <c r="AA11" s="55">
        <v>0</v>
      </c>
      <c r="AB11" s="16"/>
      <c r="AC11" s="16"/>
      <c r="AD11" s="17"/>
      <c r="AE11" s="17" t="b">
        <f t="shared" si="0"/>
        <v>0</v>
      </c>
      <c r="AF11" s="1"/>
    </row>
    <row r="12" spans="1:32" x14ac:dyDescent="0.25">
      <c r="A12" s="1"/>
      <c r="B12" s="1"/>
      <c r="C12" s="1"/>
      <c r="D12" s="5" t="str">
        <f>$F$5&amp;E12</f>
        <v>C        FS03</v>
      </c>
      <c r="E12" s="5" t="str">
        <f>'Both Shifts'!E59</f>
        <v xml:space="preserve">        FS03</v>
      </c>
      <c r="F12" s="5">
        <f>'Both Shifts'!F59</f>
        <v>96700026</v>
      </c>
      <c r="G12" s="5" t="str">
        <f>'Both Shifts'!G59</f>
        <v>SV EXS80 120/50PT CP</v>
      </c>
      <c r="H12" s="5">
        <f>'Both Shifts'!H59</f>
        <v>408961</v>
      </c>
      <c r="I12" s="6">
        <f>'Both Shifts'!I59</f>
        <v>44901</v>
      </c>
      <c r="J12" s="7">
        <f>'Both Shifts'!J59</f>
        <v>0.64583333333333337</v>
      </c>
      <c r="K12" s="7">
        <f>'Both Shifts'!K59</f>
        <v>0.14583333333333334</v>
      </c>
      <c r="L12" s="8">
        <f>'Both Shifts'!L59</f>
        <v>8</v>
      </c>
      <c r="M12" s="8">
        <f>'Both Shifts'!M59</f>
        <v>12</v>
      </c>
      <c r="N12" s="64">
        <f>'Both Shifts'!N59</f>
        <v>729</v>
      </c>
      <c r="O12" s="64">
        <f>'Both Shifts'!O59</f>
        <v>1900</v>
      </c>
      <c r="P12" s="64">
        <f>'Both Shifts'!P59</f>
        <v>720</v>
      </c>
      <c r="Q12" s="64">
        <f>'Both Shifts'!Q59</f>
        <v>100</v>
      </c>
      <c r="R12" s="64">
        <f>'Both Shifts'!R59</f>
        <v>0</v>
      </c>
      <c r="S12" s="64">
        <f>'Both Shifts'!S59</f>
        <v>20</v>
      </c>
      <c r="T12" s="64">
        <f>'Both Shifts'!T59</f>
        <v>0</v>
      </c>
      <c r="U12" s="64">
        <f>'Both Shifts'!U59</f>
        <v>0</v>
      </c>
      <c r="V12" s="64">
        <f>'Both Shifts'!V59</f>
        <v>0</v>
      </c>
      <c r="W12" s="64">
        <f>'Both Shifts'!W59</f>
        <v>10</v>
      </c>
      <c r="X12" s="64">
        <f>'Both Shifts'!X59</f>
        <v>600</v>
      </c>
      <c r="Y12" s="65">
        <f>'Both Shifts'!Y59</f>
        <v>380</v>
      </c>
      <c r="Z12" s="8" t="str">
        <f>'Both Shifts'!Z59</f>
        <v/>
      </c>
      <c r="AA12" s="8">
        <f>'Both Shifts'!AA59</f>
        <v>38.369999999999997</v>
      </c>
      <c r="AB12" s="23"/>
      <c r="AC12" s="8"/>
      <c r="AD12" s="8"/>
      <c r="AE12" s="8" t="b">
        <f t="shared" si="0"/>
        <v>0</v>
      </c>
      <c r="AF12" s="1"/>
    </row>
    <row r="13" spans="1:32" x14ac:dyDescent="0.25">
      <c r="A13" s="1"/>
      <c r="B13" s="1"/>
      <c r="C13" s="1"/>
      <c r="D13" s="5" t="str">
        <f>$F$5&amp;E13</f>
        <v>C        FS03</v>
      </c>
      <c r="E13" s="5" t="str">
        <f>'Both Shifts'!E60</f>
        <v xml:space="preserve">        FS03</v>
      </c>
      <c r="F13" s="5" t="str">
        <f>'Both Shifts'!F60</f>
        <v/>
      </c>
      <c r="G13" s="5" t="str">
        <f>'Both Shifts'!G60</f>
        <v/>
      </c>
      <c r="H13" s="5" t="str">
        <f>'Both Shifts'!H60</f>
        <v/>
      </c>
      <c r="I13" s="6" t="str">
        <f>'Both Shifts'!I60</f>
        <v/>
      </c>
      <c r="J13" s="7" t="str">
        <f>'Both Shifts'!J60</f>
        <v/>
      </c>
      <c r="K13" s="7" t="str">
        <f>'Both Shifts'!K60</f>
        <v/>
      </c>
      <c r="L13" s="8" t="str">
        <f>'Both Shifts'!L60</f>
        <v/>
      </c>
      <c r="M13" s="8" t="str">
        <f>'Both Shifts'!M60</f>
        <v/>
      </c>
      <c r="N13" s="64" t="str">
        <f>'Both Shifts'!N60</f>
        <v/>
      </c>
      <c r="O13" s="64" t="str">
        <f>'Both Shifts'!O60</f>
        <v/>
      </c>
      <c r="P13" s="64" t="str">
        <f>'Both Shifts'!P60</f>
        <v/>
      </c>
      <c r="Q13" s="64" t="str">
        <f>'Both Shifts'!Q60</f>
        <v/>
      </c>
      <c r="R13" s="64" t="str">
        <f>'Both Shifts'!R60</f>
        <v/>
      </c>
      <c r="S13" s="64" t="str">
        <f>'Both Shifts'!S60</f>
        <v/>
      </c>
      <c r="T13" s="64" t="str">
        <f>'Both Shifts'!T60</f>
        <v/>
      </c>
      <c r="U13" s="64" t="str">
        <f>'Both Shifts'!U60</f>
        <v/>
      </c>
      <c r="V13" s="64" t="str">
        <f>'Both Shifts'!V60</f>
        <v/>
      </c>
      <c r="W13" s="64" t="str">
        <f>'Both Shifts'!W60</f>
        <v/>
      </c>
      <c r="X13" s="64" t="str">
        <f>'Both Shifts'!X60</f>
        <v/>
      </c>
      <c r="Y13" s="65" t="str">
        <f>'Both Shifts'!Y60</f>
        <v/>
      </c>
      <c r="Z13" s="8" t="str">
        <f>'Both Shifts'!Z60</f>
        <v/>
      </c>
      <c r="AA13" s="8" t="str">
        <f>'Both Shifts'!AA60</f>
        <v/>
      </c>
      <c r="AB13" s="23"/>
      <c r="AC13" s="8"/>
      <c r="AD13" s="8"/>
      <c r="AE13" s="8" t="str">
        <f t="shared" si="0"/>
        <v>TRUE</v>
      </c>
      <c r="AF13" s="1"/>
    </row>
    <row r="14" spans="1:32" x14ac:dyDescent="0.25">
      <c r="A14" s="1"/>
      <c r="B14" s="1"/>
      <c r="C14" s="1"/>
      <c r="D14" s="5" t="str">
        <f t="shared" ref="D14" si="2">$F$5&amp;E14</f>
        <v>C        FS03</v>
      </c>
      <c r="E14" s="5" t="str">
        <f>'Both Shifts'!E61</f>
        <v xml:space="preserve">        FS03</v>
      </c>
      <c r="F14" s="5" t="str">
        <f>'Both Shifts'!F61</f>
        <v/>
      </c>
      <c r="G14" s="5" t="str">
        <f>'Both Shifts'!G61</f>
        <v/>
      </c>
      <c r="H14" s="5" t="str">
        <f>'Both Shifts'!H61</f>
        <v/>
      </c>
      <c r="I14" s="6" t="str">
        <f>'Both Shifts'!I61</f>
        <v/>
      </c>
      <c r="J14" s="7" t="str">
        <f>'Both Shifts'!J61</f>
        <v/>
      </c>
      <c r="K14" s="7" t="str">
        <f>'Both Shifts'!K61</f>
        <v/>
      </c>
      <c r="L14" s="8" t="str">
        <f>'Both Shifts'!L61</f>
        <v/>
      </c>
      <c r="M14" s="8" t="str">
        <f>'Both Shifts'!M61</f>
        <v/>
      </c>
      <c r="N14" s="64" t="str">
        <f>'Both Shifts'!N61</f>
        <v/>
      </c>
      <c r="O14" s="64" t="str">
        <f>'Both Shifts'!O61</f>
        <v/>
      </c>
      <c r="P14" s="64" t="str">
        <f>'Both Shifts'!P61</f>
        <v/>
      </c>
      <c r="Q14" s="64" t="str">
        <f>'Both Shifts'!Q61</f>
        <v/>
      </c>
      <c r="R14" s="64" t="str">
        <f>'Both Shifts'!R61</f>
        <v/>
      </c>
      <c r="S14" s="64" t="str">
        <f>'Both Shifts'!S61</f>
        <v/>
      </c>
      <c r="T14" s="64" t="str">
        <f>'Both Shifts'!T61</f>
        <v/>
      </c>
      <c r="U14" s="64" t="str">
        <f>'Both Shifts'!U61</f>
        <v/>
      </c>
      <c r="V14" s="64" t="str">
        <f>'Both Shifts'!V61</f>
        <v/>
      </c>
      <c r="W14" s="64" t="str">
        <f>'Both Shifts'!W61</f>
        <v/>
      </c>
      <c r="X14" s="64" t="str">
        <f>'Both Shifts'!X61</f>
        <v/>
      </c>
      <c r="Y14" s="65" t="str">
        <f>'Both Shifts'!Y61</f>
        <v/>
      </c>
      <c r="Z14" s="8" t="str">
        <f>'Both Shifts'!Z61</f>
        <v/>
      </c>
      <c r="AA14" s="8" t="str">
        <f>'Both Shifts'!AA61</f>
        <v/>
      </c>
      <c r="AB14" s="23"/>
      <c r="AC14" s="8"/>
      <c r="AD14" s="8"/>
      <c r="AE14" s="8" t="str">
        <f t="shared" si="0"/>
        <v>TRUE</v>
      </c>
      <c r="AF14" s="1"/>
    </row>
    <row r="15" spans="1:32" x14ac:dyDescent="0.25">
      <c r="A15" s="1"/>
      <c r="B15" s="1"/>
      <c r="C15" s="1"/>
      <c r="D15" s="12"/>
      <c r="E15" s="12"/>
      <c r="F15" s="62">
        <f>IF(F12="","",0)</f>
        <v>0</v>
      </c>
      <c r="G15" s="13"/>
      <c r="H15" s="34" t="str">
        <f>$F$5</f>
        <v>C</v>
      </c>
      <c r="I15" s="34" t="str">
        <f>$F$5&amp;J15</f>
        <v>C        FS03</v>
      </c>
      <c r="J15" s="67" t="str">
        <f>F11</f>
        <v xml:space="preserve">        FS03</v>
      </c>
      <c r="K15" s="67"/>
      <c r="L15" s="67" t="s">
        <v>19</v>
      </c>
      <c r="M15" s="68"/>
      <c r="N15" s="42">
        <f>SUMIF($D:$D,$I15,N:N)</f>
        <v>729</v>
      </c>
      <c r="O15" s="42">
        <f>SUMIF($D:$D,$I15,O:O)</f>
        <v>1900</v>
      </c>
      <c r="P15" s="42">
        <f>SUMIF($D:$D,$I15,P:P)</f>
        <v>720</v>
      </c>
      <c r="Q15" s="42">
        <f>SUMIF($D:$D,$I15,Q:Q)</f>
        <v>100</v>
      </c>
      <c r="R15" s="42">
        <f>SUMIF($D:$D,$I15,R:R)</f>
        <v>0</v>
      </c>
      <c r="S15" s="42">
        <f>SUMIF($D:$D,$I15,S:S)</f>
        <v>20</v>
      </c>
      <c r="T15" s="42">
        <f>SUMIF($D:$D,$I15,T:T)</f>
        <v>0</v>
      </c>
      <c r="U15" s="42"/>
      <c r="V15" s="42">
        <f>SUMIF($D:$D,$I15,V:V)</f>
        <v>0</v>
      </c>
      <c r="W15" s="42">
        <f>SUMIF($D:$D,$I15,W:W)</f>
        <v>10</v>
      </c>
      <c r="X15" s="42">
        <f>SUMIF($D:$D,$I15,X:X)</f>
        <v>600</v>
      </c>
      <c r="Y15" s="26"/>
      <c r="Z15" s="26"/>
      <c r="AA15" s="27">
        <f>N15/O15*100</f>
        <v>38.368421052631582</v>
      </c>
      <c r="AB15" s="35"/>
      <c r="AC15" s="26"/>
      <c r="AD15" s="27"/>
      <c r="AE15" s="27" t="b">
        <f t="shared" si="0"/>
        <v>0</v>
      </c>
      <c r="AF15" s="1"/>
    </row>
    <row r="16" spans="1:32" x14ac:dyDescent="0.25">
      <c r="A16" s="1"/>
      <c r="B16" s="1"/>
      <c r="C16" s="1"/>
      <c r="D16" s="14"/>
      <c r="E16" s="14" t="s">
        <v>22</v>
      </c>
      <c r="F16" s="18" t="s">
        <v>25</v>
      </c>
      <c r="G16" s="16" t="s">
        <v>26</v>
      </c>
      <c r="H16" s="54" t="str">
        <f>IF(H17="","DNR",0)</f>
        <v>DNR</v>
      </c>
      <c r="I16" s="53">
        <v>0</v>
      </c>
      <c r="J16" s="54">
        <v>0</v>
      </c>
      <c r="K16" s="54">
        <v>0</v>
      </c>
      <c r="L16" s="54">
        <v>0</v>
      </c>
      <c r="M16" s="54">
        <v>0</v>
      </c>
      <c r="N16" s="54" t="str">
        <f>IF(F17="","DNR",0)</f>
        <v>DNR</v>
      </c>
      <c r="O16" s="54">
        <v>0</v>
      </c>
      <c r="P16" s="54">
        <v>0</v>
      </c>
      <c r="Q16" s="54">
        <v>0</v>
      </c>
      <c r="R16" s="54">
        <v>0</v>
      </c>
      <c r="S16" s="54">
        <v>0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5">
        <v>0</v>
      </c>
      <c r="AB16" s="16"/>
      <c r="AC16" s="16"/>
      <c r="AD16" s="17"/>
      <c r="AE16" s="17" t="str">
        <f t="shared" si="0"/>
        <v>TRUE</v>
      </c>
      <c r="AF16" s="1"/>
    </row>
    <row r="17" spans="1:32" x14ac:dyDescent="0.25">
      <c r="A17" s="1"/>
      <c r="B17" s="1"/>
      <c r="C17" s="1"/>
      <c r="D17" s="5" t="str">
        <f>$F$5&amp;E17</f>
        <v>C        FS04</v>
      </c>
      <c r="E17" s="5" t="str">
        <f>'Both Shifts'!E64</f>
        <v xml:space="preserve">        FS04</v>
      </c>
      <c r="F17" s="5" t="str">
        <f>'Both Shifts'!F64</f>
        <v/>
      </c>
      <c r="G17" s="5" t="str">
        <f>'Both Shifts'!G64</f>
        <v/>
      </c>
      <c r="H17" s="5" t="str">
        <f>'Both Shifts'!H64</f>
        <v/>
      </c>
      <c r="I17" s="6" t="str">
        <f>'Both Shifts'!I64</f>
        <v/>
      </c>
      <c r="J17" s="7" t="str">
        <f>'Both Shifts'!J64</f>
        <v/>
      </c>
      <c r="K17" s="7" t="str">
        <f>'Both Shifts'!K64</f>
        <v/>
      </c>
      <c r="L17" s="8" t="str">
        <f>'Both Shifts'!L64</f>
        <v/>
      </c>
      <c r="M17" s="8" t="str">
        <f>'Both Shifts'!M64</f>
        <v/>
      </c>
      <c r="N17" s="64" t="str">
        <f>'Both Shifts'!N64</f>
        <v/>
      </c>
      <c r="O17" s="64" t="str">
        <f>'Both Shifts'!O64</f>
        <v/>
      </c>
      <c r="P17" s="64" t="str">
        <f>'Both Shifts'!P64</f>
        <v/>
      </c>
      <c r="Q17" s="64" t="str">
        <f>'Both Shifts'!Q64</f>
        <v/>
      </c>
      <c r="R17" s="64" t="str">
        <f>'Both Shifts'!R64</f>
        <v/>
      </c>
      <c r="S17" s="64" t="str">
        <f>'Both Shifts'!S64</f>
        <v/>
      </c>
      <c r="T17" s="64" t="str">
        <f>'Both Shifts'!T64</f>
        <v/>
      </c>
      <c r="U17" s="64" t="str">
        <f>'Both Shifts'!U64</f>
        <v/>
      </c>
      <c r="V17" s="64" t="str">
        <f>'Both Shifts'!V64</f>
        <v/>
      </c>
      <c r="W17" s="64" t="str">
        <f>'Both Shifts'!W64</f>
        <v/>
      </c>
      <c r="X17" s="64" t="str">
        <f>'Both Shifts'!X64</f>
        <v/>
      </c>
      <c r="Y17" s="65" t="str">
        <f>'Both Shifts'!Y64</f>
        <v/>
      </c>
      <c r="Z17" s="8" t="str">
        <f>'Both Shifts'!Z64</f>
        <v/>
      </c>
      <c r="AA17" s="8" t="str">
        <f>'Both Shifts'!AA64</f>
        <v/>
      </c>
      <c r="AB17" s="23"/>
      <c r="AC17" s="8"/>
      <c r="AD17" s="8"/>
      <c r="AE17" s="8" t="str">
        <f t="shared" si="0"/>
        <v>TRUE</v>
      </c>
      <c r="AF17" s="1"/>
    </row>
    <row r="18" spans="1:32" x14ac:dyDescent="0.25">
      <c r="A18" s="1"/>
      <c r="B18" s="1"/>
      <c r="C18" s="1"/>
      <c r="D18" s="5" t="str">
        <f>$F$5&amp;E18</f>
        <v>C        FS04</v>
      </c>
      <c r="E18" s="5" t="str">
        <f>'Both Shifts'!E65</f>
        <v xml:space="preserve">        FS04</v>
      </c>
      <c r="F18" s="5" t="str">
        <f>'Both Shifts'!F65</f>
        <v/>
      </c>
      <c r="G18" s="5" t="str">
        <f>'Both Shifts'!G65</f>
        <v/>
      </c>
      <c r="H18" s="5" t="str">
        <f>'Both Shifts'!H65</f>
        <v/>
      </c>
      <c r="I18" s="6" t="str">
        <f>'Both Shifts'!I65</f>
        <v/>
      </c>
      <c r="J18" s="7" t="str">
        <f>'Both Shifts'!J65</f>
        <v/>
      </c>
      <c r="K18" s="7" t="str">
        <f>'Both Shifts'!K65</f>
        <v/>
      </c>
      <c r="L18" s="8" t="str">
        <f>'Both Shifts'!L65</f>
        <v/>
      </c>
      <c r="M18" s="8" t="str">
        <f>'Both Shifts'!M65</f>
        <v/>
      </c>
      <c r="N18" s="64" t="str">
        <f>'Both Shifts'!N65</f>
        <v/>
      </c>
      <c r="O18" s="64" t="str">
        <f>'Both Shifts'!O65</f>
        <v/>
      </c>
      <c r="P18" s="64" t="str">
        <f>'Both Shifts'!P65</f>
        <v/>
      </c>
      <c r="Q18" s="64" t="str">
        <f>'Both Shifts'!Q65</f>
        <v/>
      </c>
      <c r="R18" s="64" t="str">
        <f>'Both Shifts'!R65</f>
        <v/>
      </c>
      <c r="S18" s="64" t="str">
        <f>'Both Shifts'!S65</f>
        <v/>
      </c>
      <c r="T18" s="64" t="str">
        <f>'Both Shifts'!T65</f>
        <v/>
      </c>
      <c r="U18" s="64" t="str">
        <f>'Both Shifts'!U65</f>
        <v/>
      </c>
      <c r="V18" s="64" t="str">
        <f>'Both Shifts'!V65</f>
        <v/>
      </c>
      <c r="W18" s="64" t="str">
        <f>'Both Shifts'!W65</f>
        <v/>
      </c>
      <c r="X18" s="64" t="str">
        <f>'Both Shifts'!X65</f>
        <v/>
      </c>
      <c r="Y18" s="65" t="str">
        <f>'Both Shifts'!Y65</f>
        <v/>
      </c>
      <c r="Z18" s="8" t="str">
        <f>'Both Shifts'!Z65</f>
        <v/>
      </c>
      <c r="AA18" s="8" t="str">
        <f>'Both Shifts'!AA65</f>
        <v/>
      </c>
      <c r="AB18" s="23"/>
      <c r="AC18" s="8"/>
      <c r="AD18" s="8"/>
      <c r="AE18" s="8" t="str">
        <f t="shared" si="0"/>
        <v>TRUE</v>
      </c>
      <c r="AF18" s="1"/>
    </row>
    <row r="19" spans="1:32" x14ac:dyDescent="0.25">
      <c r="A19" s="1"/>
      <c r="B19" s="1"/>
      <c r="C19" s="1"/>
      <c r="D19" s="5" t="str">
        <f t="shared" ref="D19" si="3">$F$5&amp;E19</f>
        <v>C        FS04</v>
      </c>
      <c r="E19" s="5" t="str">
        <f>'Both Shifts'!E66</f>
        <v xml:space="preserve">        FS04</v>
      </c>
      <c r="F19" s="5" t="str">
        <f>'Both Shifts'!F66</f>
        <v/>
      </c>
      <c r="G19" s="5" t="str">
        <f>'Both Shifts'!G66</f>
        <v/>
      </c>
      <c r="H19" s="5" t="str">
        <f>'Both Shifts'!H66</f>
        <v/>
      </c>
      <c r="I19" s="6" t="str">
        <f>'Both Shifts'!I66</f>
        <v/>
      </c>
      <c r="J19" s="7" t="str">
        <f>'Both Shifts'!J66</f>
        <v/>
      </c>
      <c r="K19" s="7" t="str">
        <f>'Both Shifts'!K66</f>
        <v/>
      </c>
      <c r="L19" s="8" t="str">
        <f>'Both Shifts'!L66</f>
        <v/>
      </c>
      <c r="M19" s="8" t="str">
        <f>'Both Shifts'!M66</f>
        <v/>
      </c>
      <c r="N19" s="64" t="str">
        <f>'Both Shifts'!N66</f>
        <v/>
      </c>
      <c r="O19" s="64" t="str">
        <f>'Both Shifts'!O66</f>
        <v/>
      </c>
      <c r="P19" s="64" t="str">
        <f>'Both Shifts'!P66</f>
        <v/>
      </c>
      <c r="Q19" s="64" t="str">
        <f>'Both Shifts'!Q66</f>
        <v/>
      </c>
      <c r="R19" s="64" t="str">
        <f>'Both Shifts'!R66</f>
        <v/>
      </c>
      <c r="S19" s="64" t="str">
        <f>'Both Shifts'!S66</f>
        <v/>
      </c>
      <c r="T19" s="64" t="str">
        <f>'Both Shifts'!T66</f>
        <v/>
      </c>
      <c r="U19" s="64" t="str">
        <f>'Both Shifts'!U66</f>
        <v/>
      </c>
      <c r="V19" s="64" t="str">
        <f>'Both Shifts'!V66</f>
        <v/>
      </c>
      <c r="W19" s="64" t="str">
        <f>'Both Shifts'!W66</f>
        <v/>
      </c>
      <c r="X19" s="64" t="str">
        <f>'Both Shifts'!X66</f>
        <v/>
      </c>
      <c r="Y19" s="65" t="str">
        <f>'Both Shifts'!Y66</f>
        <v/>
      </c>
      <c r="Z19" s="8" t="str">
        <f>'Both Shifts'!Z66</f>
        <v/>
      </c>
      <c r="AA19" s="8" t="str">
        <f>'Both Shifts'!AA66</f>
        <v/>
      </c>
      <c r="AB19" s="23"/>
      <c r="AC19" s="8"/>
      <c r="AD19" s="8"/>
      <c r="AE19" s="8" t="str">
        <f t="shared" si="0"/>
        <v>TRUE</v>
      </c>
      <c r="AF19" s="1"/>
    </row>
    <row r="20" spans="1:32" x14ac:dyDescent="0.25">
      <c r="A20" s="1"/>
      <c r="B20" s="1"/>
      <c r="C20" s="1"/>
      <c r="D20" s="12"/>
      <c r="E20" s="12"/>
      <c r="F20" s="62" t="str">
        <f>IF(F17="","",0)</f>
        <v/>
      </c>
      <c r="G20" s="13"/>
      <c r="H20" s="34" t="str">
        <f>$F$5</f>
        <v>C</v>
      </c>
      <c r="I20" s="34" t="str">
        <f>$F$5&amp;J20</f>
        <v>C        FS04</v>
      </c>
      <c r="J20" s="67" t="str">
        <f>F16</f>
        <v xml:space="preserve">        FS04</v>
      </c>
      <c r="K20" s="67"/>
      <c r="L20" s="67" t="s">
        <v>19</v>
      </c>
      <c r="M20" s="67"/>
      <c r="N20" s="42">
        <f>SUMIF($D:$D,$I20,N:N)</f>
        <v>0</v>
      </c>
      <c r="O20" s="42">
        <f>SUMIF($D:$D,$I20,O:O)</f>
        <v>0</v>
      </c>
      <c r="P20" s="42">
        <f>SUMIF($D:$D,$I20,P:P)</f>
        <v>0</v>
      </c>
      <c r="Q20" s="42">
        <f>SUMIF($D:$D,$I20,Q:Q)</f>
        <v>0</v>
      </c>
      <c r="R20" s="42">
        <f>SUMIF($D:$D,$I20,R:R)</f>
        <v>0</v>
      </c>
      <c r="S20" s="42">
        <f>SUMIF($D:$D,$I20,S:S)</f>
        <v>0</v>
      </c>
      <c r="T20" s="42">
        <f>SUMIF($D:$D,$I20,T:T)</f>
        <v>0</v>
      </c>
      <c r="U20" s="42"/>
      <c r="V20" s="42">
        <f>SUMIF($D:$D,$I20,V:V)</f>
        <v>0</v>
      </c>
      <c r="W20" s="42">
        <f>SUMIF($D:$D,$I20,W:W)</f>
        <v>0</v>
      </c>
      <c r="X20" s="42">
        <f>SUMIF($D:$D,$I20,X:X)</f>
        <v>0</v>
      </c>
      <c r="Y20" s="26"/>
      <c r="Z20" s="26"/>
      <c r="AA20" s="27" t="e">
        <f>N20/O20*100</f>
        <v>#DIV/0!</v>
      </c>
      <c r="AB20" s="35"/>
      <c r="AC20" s="26"/>
      <c r="AD20" s="27"/>
      <c r="AE20" s="27" t="str">
        <f t="shared" si="0"/>
        <v>TRUE</v>
      </c>
      <c r="AF20" s="1"/>
    </row>
    <row r="21" spans="1:32" x14ac:dyDescent="0.25">
      <c r="A21" s="1"/>
      <c r="B21" s="1"/>
      <c r="C21" s="1"/>
      <c r="D21" s="14"/>
      <c r="E21" s="14" t="s">
        <v>22</v>
      </c>
      <c r="F21" s="18" t="s">
        <v>27</v>
      </c>
      <c r="G21" s="16" t="s">
        <v>28</v>
      </c>
      <c r="H21" s="54" t="str">
        <f>IF(H22="","DNR",0)</f>
        <v>DNR</v>
      </c>
      <c r="I21" s="53">
        <v>0</v>
      </c>
      <c r="J21" s="54">
        <v>0</v>
      </c>
      <c r="K21" s="54">
        <v>0</v>
      </c>
      <c r="L21" s="54">
        <v>0</v>
      </c>
      <c r="M21" s="54">
        <v>0</v>
      </c>
      <c r="N21" s="54" t="str">
        <f>IF(F22="","DNR",0)</f>
        <v>DNR</v>
      </c>
      <c r="O21" s="54">
        <v>0</v>
      </c>
      <c r="P21" s="54">
        <v>0</v>
      </c>
      <c r="Q21" s="54">
        <v>0</v>
      </c>
      <c r="R21" s="54">
        <v>0</v>
      </c>
      <c r="S21" s="54">
        <v>0</v>
      </c>
      <c r="T21" s="54">
        <v>0</v>
      </c>
      <c r="U21" s="54">
        <v>0</v>
      </c>
      <c r="V21" s="54">
        <v>0</v>
      </c>
      <c r="W21" s="54">
        <v>0</v>
      </c>
      <c r="X21" s="54">
        <v>0</v>
      </c>
      <c r="Y21" s="54">
        <v>0</v>
      </c>
      <c r="Z21" s="54">
        <v>0</v>
      </c>
      <c r="AA21" s="55">
        <v>0</v>
      </c>
      <c r="AB21" s="16"/>
      <c r="AC21" s="16"/>
      <c r="AD21" s="17"/>
      <c r="AE21" s="17" t="str">
        <f t="shared" si="0"/>
        <v>TRUE</v>
      </c>
      <c r="AF21" s="1"/>
    </row>
    <row r="22" spans="1:32" x14ac:dyDescent="0.25">
      <c r="A22" s="1"/>
      <c r="B22" s="1"/>
      <c r="C22" s="1"/>
      <c r="D22" s="5" t="str">
        <f>$F$5&amp;E22</f>
        <v>C        FS05</v>
      </c>
      <c r="E22" s="5" t="str">
        <f>'Both Shifts'!E69</f>
        <v xml:space="preserve">        FS05</v>
      </c>
      <c r="F22" s="5" t="str">
        <f>'Both Shifts'!F69</f>
        <v/>
      </c>
      <c r="G22" s="5" t="str">
        <f>'Both Shifts'!G69</f>
        <v/>
      </c>
      <c r="H22" s="5" t="str">
        <f>'Both Shifts'!H69</f>
        <v/>
      </c>
      <c r="I22" s="6" t="str">
        <f>'Both Shifts'!I69</f>
        <v/>
      </c>
      <c r="J22" s="7" t="str">
        <f>'Both Shifts'!J69</f>
        <v/>
      </c>
      <c r="K22" s="7" t="str">
        <f>'Both Shifts'!K69</f>
        <v/>
      </c>
      <c r="L22" s="8" t="str">
        <f>'Both Shifts'!L69</f>
        <v/>
      </c>
      <c r="M22" s="8" t="str">
        <f>'Both Shifts'!M69</f>
        <v/>
      </c>
      <c r="N22" s="64" t="str">
        <f>'Both Shifts'!N69</f>
        <v/>
      </c>
      <c r="O22" s="64" t="str">
        <f>'Both Shifts'!O69</f>
        <v/>
      </c>
      <c r="P22" s="64" t="str">
        <f>'Both Shifts'!P69</f>
        <v/>
      </c>
      <c r="Q22" s="64" t="str">
        <f>'Both Shifts'!Q69</f>
        <v/>
      </c>
      <c r="R22" s="64" t="str">
        <f>'Both Shifts'!R69</f>
        <v/>
      </c>
      <c r="S22" s="64" t="str">
        <f>'Both Shifts'!S69</f>
        <v/>
      </c>
      <c r="T22" s="64" t="str">
        <f>'Both Shifts'!T69</f>
        <v/>
      </c>
      <c r="U22" s="64" t="str">
        <f>'Both Shifts'!U69</f>
        <v/>
      </c>
      <c r="V22" s="64" t="str">
        <f>'Both Shifts'!V69</f>
        <v/>
      </c>
      <c r="W22" s="64" t="str">
        <f>'Both Shifts'!W69</f>
        <v/>
      </c>
      <c r="X22" s="64" t="str">
        <f>'Both Shifts'!X69</f>
        <v/>
      </c>
      <c r="Y22" s="65" t="str">
        <f>'Both Shifts'!Y69</f>
        <v/>
      </c>
      <c r="Z22" s="8" t="str">
        <f>'Both Shifts'!Z69</f>
        <v/>
      </c>
      <c r="AA22" s="8" t="str">
        <f>'Both Shifts'!AA69</f>
        <v/>
      </c>
      <c r="AB22" s="23"/>
      <c r="AC22" s="8"/>
      <c r="AD22" s="8"/>
      <c r="AE22" s="8" t="str">
        <f t="shared" si="0"/>
        <v>TRUE</v>
      </c>
      <c r="AF22" s="1"/>
    </row>
    <row r="23" spans="1:32" x14ac:dyDescent="0.25">
      <c r="A23" s="1"/>
      <c r="B23" s="1"/>
      <c r="C23" s="1"/>
      <c r="D23" s="5" t="str">
        <f>$F$5&amp;E23</f>
        <v>C        FS05</v>
      </c>
      <c r="E23" s="5" t="str">
        <f>'Both Shifts'!E70</f>
        <v xml:space="preserve">        FS05</v>
      </c>
      <c r="F23" s="5" t="str">
        <f>'Both Shifts'!F70</f>
        <v/>
      </c>
      <c r="G23" s="5" t="str">
        <f>'Both Shifts'!G70</f>
        <v/>
      </c>
      <c r="H23" s="5" t="str">
        <f>'Both Shifts'!H70</f>
        <v/>
      </c>
      <c r="I23" s="6" t="str">
        <f>'Both Shifts'!I70</f>
        <v/>
      </c>
      <c r="J23" s="7" t="str">
        <f>'Both Shifts'!J70</f>
        <v/>
      </c>
      <c r="K23" s="7" t="str">
        <f>'Both Shifts'!K70</f>
        <v/>
      </c>
      <c r="L23" s="8" t="str">
        <f>'Both Shifts'!L70</f>
        <v/>
      </c>
      <c r="M23" s="8" t="str">
        <f>'Both Shifts'!M70</f>
        <v/>
      </c>
      <c r="N23" s="64" t="str">
        <f>'Both Shifts'!N70</f>
        <v/>
      </c>
      <c r="O23" s="64" t="str">
        <f>'Both Shifts'!O70</f>
        <v/>
      </c>
      <c r="P23" s="64" t="str">
        <f>'Both Shifts'!P70</f>
        <v/>
      </c>
      <c r="Q23" s="64" t="str">
        <f>'Both Shifts'!Q70</f>
        <v/>
      </c>
      <c r="R23" s="64" t="str">
        <f>'Both Shifts'!R70</f>
        <v/>
      </c>
      <c r="S23" s="64" t="str">
        <f>'Both Shifts'!S70</f>
        <v/>
      </c>
      <c r="T23" s="64" t="str">
        <f>'Both Shifts'!T70</f>
        <v/>
      </c>
      <c r="U23" s="64" t="str">
        <f>'Both Shifts'!U70</f>
        <v/>
      </c>
      <c r="V23" s="64" t="str">
        <f>'Both Shifts'!V70</f>
        <v/>
      </c>
      <c r="W23" s="64" t="str">
        <f>'Both Shifts'!W70</f>
        <v/>
      </c>
      <c r="X23" s="64" t="str">
        <f>'Both Shifts'!X70</f>
        <v/>
      </c>
      <c r="Y23" s="65" t="str">
        <f>'Both Shifts'!Y70</f>
        <v/>
      </c>
      <c r="Z23" s="8" t="str">
        <f>'Both Shifts'!Z70</f>
        <v/>
      </c>
      <c r="AA23" s="8" t="str">
        <f>'Both Shifts'!AA70</f>
        <v/>
      </c>
      <c r="AB23" s="23"/>
      <c r="AC23" s="8"/>
      <c r="AD23" s="8"/>
      <c r="AE23" s="8" t="str">
        <f t="shared" si="0"/>
        <v>TRUE</v>
      </c>
      <c r="AF23" s="1"/>
    </row>
    <row r="24" spans="1:32" x14ac:dyDescent="0.25">
      <c r="A24" s="1"/>
      <c r="B24" s="1"/>
      <c r="C24" s="1"/>
      <c r="D24" s="5" t="str">
        <f t="shared" ref="D24" si="4">$F$5&amp;E24</f>
        <v>C        FS05</v>
      </c>
      <c r="E24" s="5" t="str">
        <f>'Both Shifts'!E71</f>
        <v xml:space="preserve">        FS05</v>
      </c>
      <c r="F24" s="5" t="str">
        <f>'Both Shifts'!F71</f>
        <v/>
      </c>
      <c r="G24" s="5" t="str">
        <f>'Both Shifts'!G71</f>
        <v/>
      </c>
      <c r="H24" s="5" t="str">
        <f>'Both Shifts'!H71</f>
        <v/>
      </c>
      <c r="I24" s="6" t="str">
        <f>'Both Shifts'!I71</f>
        <v/>
      </c>
      <c r="J24" s="7" t="str">
        <f>'Both Shifts'!J71</f>
        <v/>
      </c>
      <c r="K24" s="7" t="str">
        <f>'Both Shifts'!K71</f>
        <v/>
      </c>
      <c r="L24" s="8" t="str">
        <f>'Both Shifts'!L71</f>
        <v/>
      </c>
      <c r="M24" s="8" t="str">
        <f>'Both Shifts'!M71</f>
        <v/>
      </c>
      <c r="N24" s="64" t="str">
        <f>'Both Shifts'!N71</f>
        <v/>
      </c>
      <c r="O24" s="64" t="str">
        <f>'Both Shifts'!O71</f>
        <v/>
      </c>
      <c r="P24" s="64" t="str">
        <f>'Both Shifts'!P71</f>
        <v/>
      </c>
      <c r="Q24" s="64" t="str">
        <f>'Both Shifts'!Q71</f>
        <v/>
      </c>
      <c r="R24" s="64" t="str">
        <f>'Both Shifts'!R71</f>
        <v/>
      </c>
      <c r="S24" s="64" t="str">
        <f>'Both Shifts'!S71</f>
        <v/>
      </c>
      <c r="T24" s="64" t="str">
        <f>'Both Shifts'!T71</f>
        <v/>
      </c>
      <c r="U24" s="64" t="str">
        <f>'Both Shifts'!U71</f>
        <v/>
      </c>
      <c r="V24" s="64" t="str">
        <f>'Both Shifts'!V71</f>
        <v/>
      </c>
      <c r="W24" s="64" t="str">
        <f>'Both Shifts'!W71</f>
        <v/>
      </c>
      <c r="X24" s="64" t="str">
        <f>'Both Shifts'!X71</f>
        <v/>
      </c>
      <c r="Y24" s="65" t="str">
        <f>'Both Shifts'!Y71</f>
        <v/>
      </c>
      <c r="Z24" s="8" t="str">
        <f>'Both Shifts'!Z71</f>
        <v/>
      </c>
      <c r="AA24" s="8" t="str">
        <f>'Both Shifts'!AA71</f>
        <v/>
      </c>
      <c r="AB24" s="23"/>
      <c r="AC24" s="8"/>
      <c r="AD24" s="8"/>
      <c r="AE24" s="8" t="str">
        <f t="shared" si="0"/>
        <v>TRUE</v>
      </c>
      <c r="AF24" s="1"/>
    </row>
    <row r="25" spans="1:32" x14ac:dyDescent="0.25">
      <c r="A25" s="1"/>
      <c r="B25" s="1"/>
      <c r="C25" s="1"/>
      <c r="D25" s="12"/>
      <c r="E25" s="12"/>
      <c r="F25" s="62" t="str">
        <f>IF(F22="","",0)</f>
        <v/>
      </c>
      <c r="G25" s="13"/>
      <c r="H25" s="34" t="str">
        <f>$F$5</f>
        <v>C</v>
      </c>
      <c r="I25" s="34" t="str">
        <f>$F$5&amp;J25</f>
        <v>C        FS05</v>
      </c>
      <c r="J25" s="67" t="str">
        <f>F21</f>
        <v xml:space="preserve">        FS05</v>
      </c>
      <c r="K25" s="67"/>
      <c r="L25" s="67" t="s">
        <v>19</v>
      </c>
      <c r="M25" s="67"/>
      <c r="N25" s="42">
        <f>SUMIF($D:$D,$I25,N:N)</f>
        <v>0</v>
      </c>
      <c r="O25" s="42">
        <f>SUMIF($D:$D,$I25,O:O)</f>
        <v>0</v>
      </c>
      <c r="P25" s="42">
        <f>SUMIF($D:$D,$I25,P:P)</f>
        <v>0</v>
      </c>
      <c r="Q25" s="42">
        <f>SUMIF($D:$D,$I25,Q:Q)</f>
        <v>0</v>
      </c>
      <c r="R25" s="42">
        <f>SUMIF($D:$D,$I25,R:R)</f>
        <v>0</v>
      </c>
      <c r="S25" s="42">
        <f>SUMIF($D:$D,$I25,S:S)</f>
        <v>0</v>
      </c>
      <c r="T25" s="42">
        <f>SUMIF($D:$D,$I25,T:T)</f>
        <v>0</v>
      </c>
      <c r="U25" s="42"/>
      <c r="V25" s="42">
        <f>SUMIF($D:$D,$I25,V:V)</f>
        <v>0</v>
      </c>
      <c r="W25" s="42">
        <f>SUMIF($D:$D,$I25,W:W)</f>
        <v>0</v>
      </c>
      <c r="X25" s="42">
        <f>SUMIF($D:$D,$I25,X:X)</f>
        <v>0</v>
      </c>
      <c r="Y25" s="26"/>
      <c r="Z25" s="26"/>
      <c r="AA25" s="27" t="e">
        <f>N25/O25*100</f>
        <v>#DIV/0!</v>
      </c>
      <c r="AB25" s="35"/>
      <c r="AC25" s="26"/>
      <c r="AD25" s="27"/>
      <c r="AE25" s="27" t="str">
        <f t="shared" si="0"/>
        <v>TRUE</v>
      </c>
      <c r="AF25" s="1"/>
    </row>
    <row r="26" spans="1:32" x14ac:dyDescent="0.25">
      <c r="A26" s="1"/>
      <c r="B26" s="1"/>
      <c r="C26" s="1"/>
      <c r="D26" s="14"/>
      <c r="E26" s="14" t="s">
        <v>22</v>
      </c>
      <c r="F26" s="18" t="s">
        <v>29</v>
      </c>
      <c r="G26" s="16" t="s">
        <v>30</v>
      </c>
      <c r="H26" s="54" t="str">
        <f>IF(H27="","DNR",0)</f>
        <v>DNR</v>
      </c>
      <c r="I26" s="53">
        <v>0</v>
      </c>
      <c r="J26" s="54">
        <v>0</v>
      </c>
      <c r="K26" s="54">
        <v>0</v>
      </c>
      <c r="L26" s="54">
        <v>0</v>
      </c>
      <c r="M26" s="54">
        <v>0</v>
      </c>
      <c r="N26" s="54" t="str">
        <f>IF(F27="","DNR",0)</f>
        <v>DNR</v>
      </c>
      <c r="O26" s="54">
        <v>0</v>
      </c>
      <c r="P26" s="54">
        <v>0</v>
      </c>
      <c r="Q26" s="54">
        <v>0</v>
      </c>
      <c r="R26" s="54">
        <v>0</v>
      </c>
      <c r="S26" s="54">
        <v>0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5">
        <v>0</v>
      </c>
      <c r="AB26" s="16"/>
      <c r="AC26" s="16"/>
      <c r="AD26" s="17"/>
      <c r="AE26" s="17" t="str">
        <f t="shared" si="0"/>
        <v>TRUE</v>
      </c>
      <c r="AF26" s="1"/>
    </row>
    <row r="27" spans="1:32" x14ac:dyDescent="0.25">
      <c r="A27" s="1"/>
      <c r="B27" s="1"/>
      <c r="C27" s="1"/>
      <c r="D27" s="5" t="str">
        <f>$F$5&amp;E27</f>
        <v>C        FS08</v>
      </c>
      <c r="E27" s="5" t="str">
        <f>'Both Shifts'!E74</f>
        <v xml:space="preserve">        FS08</v>
      </c>
      <c r="F27" s="5" t="str">
        <f>'Both Shifts'!F74</f>
        <v/>
      </c>
      <c r="G27" s="5" t="str">
        <f>'Both Shifts'!G74</f>
        <v/>
      </c>
      <c r="H27" s="5" t="str">
        <f>'Both Shifts'!H74</f>
        <v/>
      </c>
      <c r="I27" s="6" t="str">
        <f>'Both Shifts'!I74</f>
        <v/>
      </c>
      <c r="J27" s="7" t="str">
        <f>'Both Shifts'!J74</f>
        <v/>
      </c>
      <c r="K27" s="7" t="str">
        <f>'Both Shifts'!K74</f>
        <v/>
      </c>
      <c r="L27" s="8" t="str">
        <f>'Both Shifts'!L74</f>
        <v/>
      </c>
      <c r="M27" s="8" t="str">
        <f>'Both Shifts'!M74</f>
        <v/>
      </c>
      <c r="N27" s="64" t="str">
        <f>'Both Shifts'!N74</f>
        <v/>
      </c>
      <c r="O27" s="64" t="str">
        <f>'Both Shifts'!O74</f>
        <v/>
      </c>
      <c r="P27" s="64" t="str">
        <f>'Both Shifts'!P74</f>
        <v/>
      </c>
      <c r="Q27" s="64" t="str">
        <f>'Both Shifts'!Q74</f>
        <v/>
      </c>
      <c r="R27" s="64" t="str">
        <f>'Both Shifts'!R74</f>
        <v/>
      </c>
      <c r="S27" s="64" t="str">
        <f>'Both Shifts'!S74</f>
        <v/>
      </c>
      <c r="T27" s="64" t="str">
        <f>'Both Shifts'!T74</f>
        <v/>
      </c>
      <c r="U27" s="64" t="str">
        <f>'Both Shifts'!U74</f>
        <v/>
      </c>
      <c r="V27" s="64" t="str">
        <f>'Both Shifts'!V74</f>
        <v/>
      </c>
      <c r="W27" s="64" t="str">
        <f>'Both Shifts'!W74</f>
        <v/>
      </c>
      <c r="X27" s="64" t="str">
        <f>'Both Shifts'!X74</f>
        <v/>
      </c>
      <c r="Y27" s="65" t="str">
        <f>'Both Shifts'!Y74</f>
        <v/>
      </c>
      <c r="Z27" s="8" t="str">
        <f>'Both Shifts'!Z74</f>
        <v/>
      </c>
      <c r="AA27" s="8" t="str">
        <f>'Both Shifts'!AA74</f>
        <v/>
      </c>
      <c r="AB27" s="23"/>
      <c r="AC27" s="8"/>
      <c r="AD27" s="8"/>
      <c r="AE27" s="8" t="str">
        <f t="shared" si="0"/>
        <v>TRUE</v>
      </c>
      <c r="AF27" s="1"/>
    </row>
    <row r="28" spans="1:32" x14ac:dyDescent="0.25">
      <c r="A28" s="1"/>
      <c r="B28" s="1"/>
      <c r="C28" s="1"/>
      <c r="D28" s="5" t="str">
        <f>$F$5&amp;E28</f>
        <v>C        FS08</v>
      </c>
      <c r="E28" s="5" t="str">
        <f>'Both Shifts'!E75</f>
        <v xml:space="preserve">        FS08</v>
      </c>
      <c r="F28" s="5" t="str">
        <f>'Both Shifts'!F75</f>
        <v/>
      </c>
      <c r="G28" s="5" t="str">
        <f>'Both Shifts'!G75</f>
        <v/>
      </c>
      <c r="H28" s="5" t="str">
        <f>'Both Shifts'!H75</f>
        <v/>
      </c>
      <c r="I28" s="6" t="str">
        <f>'Both Shifts'!I75</f>
        <v/>
      </c>
      <c r="J28" s="7" t="str">
        <f>'Both Shifts'!J75</f>
        <v/>
      </c>
      <c r="K28" s="7" t="str">
        <f>'Both Shifts'!K75</f>
        <v/>
      </c>
      <c r="L28" s="8" t="str">
        <f>'Both Shifts'!L75</f>
        <v/>
      </c>
      <c r="M28" s="8" t="str">
        <f>'Both Shifts'!M75</f>
        <v/>
      </c>
      <c r="N28" s="64" t="str">
        <f>'Both Shifts'!N75</f>
        <v/>
      </c>
      <c r="O28" s="64" t="str">
        <f>'Both Shifts'!O75</f>
        <v/>
      </c>
      <c r="P28" s="64" t="str">
        <f>'Both Shifts'!P75</f>
        <v/>
      </c>
      <c r="Q28" s="64" t="str">
        <f>'Both Shifts'!Q75</f>
        <v/>
      </c>
      <c r="R28" s="64" t="str">
        <f>'Both Shifts'!R75</f>
        <v/>
      </c>
      <c r="S28" s="64" t="str">
        <f>'Both Shifts'!S75</f>
        <v/>
      </c>
      <c r="T28" s="64" t="str">
        <f>'Both Shifts'!T75</f>
        <v/>
      </c>
      <c r="U28" s="64" t="str">
        <f>'Both Shifts'!U75</f>
        <v/>
      </c>
      <c r="V28" s="64" t="str">
        <f>'Both Shifts'!V75</f>
        <v/>
      </c>
      <c r="W28" s="64" t="str">
        <f>'Both Shifts'!W75</f>
        <v/>
      </c>
      <c r="X28" s="64" t="str">
        <f>'Both Shifts'!X75</f>
        <v/>
      </c>
      <c r="Y28" s="65" t="str">
        <f>'Both Shifts'!Y75</f>
        <v/>
      </c>
      <c r="Z28" s="8" t="str">
        <f>'Both Shifts'!Z75</f>
        <v/>
      </c>
      <c r="AA28" s="8" t="str">
        <f>'Both Shifts'!AA75</f>
        <v/>
      </c>
      <c r="AB28" s="23"/>
      <c r="AC28" s="8"/>
      <c r="AD28" s="8"/>
      <c r="AE28" s="8" t="str">
        <f t="shared" si="0"/>
        <v>TRUE</v>
      </c>
      <c r="AF28" s="1"/>
    </row>
    <row r="29" spans="1:32" x14ac:dyDescent="0.25">
      <c r="A29" s="1"/>
      <c r="B29" s="1"/>
      <c r="C29" s="1"/>
      <c r="D29" s="5" t="str">
        <f t="shared" ref="D29" si="5">$F$5&amp;E29</f>
        <v>C        FS08</v>
      </c>
      <c r="E29" s="5" t="str">
        <f>'Both Shifts'!E76</f>
        <v xml:space="preserve">        FS08</v>
      </c>
      <c r="F29" s="5" t="str">
        <f>'Both Shifts'!F76</f>
        <v/>
      </c>
      <c r="G29" s="5" t="str">
        <f>'Both Shifts'!G76</f>
        <v/>
      </c>
      <c r="H29" s="5" t="str">
        <f>'Both Shifts'!H76</f>
        <v/>
      </c>
      <c r="I29" s="6" t="str">
        <f>'Both Shifts'!I76</f>
        <v/>
      </c>
      <c r="J29" s="7" t="str">
        <f>'Both Shifts'!J76</f>
        <v/>
      </c>
      <c r="K29" s="7" t="str">
        <f>'Both Shifts'!K76</f>
        <v/>
      </c>
      <c r="L29" s="8" t="str">
        <f>'Both Shifts'!L76</f>
        <v/>
      </c>
      <c r="M29" s="8" t="str">
        <f>'Both Shifts'!M76</f>
        <v/>
      </c>
      <c r="N29" s="64" t="str">
        <f>'Both Shifts'!N76</f>
        <v/>
      </c>
      <c r="O29" s="64" t="str">
        <f>'Both Shifts'!O76</f>
        <v/>
      </c>
      <c r="P29" s="64" t="str">
        <f>'Both Shifts'!P76</f>
        <v/>
      </c>
      <c r="Q29" s="64" t="str">
        <f>'Both Shifts'!Q76</f>
        <v/>
      </c>
      <c r="R29" s="64" t="str">
        <f>'Both Shifts'!R76</f>
        <v/>
      </c>
      <c r="S29" s="64" t="str">
        <f>'Both Shifts'!S76</f>
        <v/>
      </c>
      <c r="T29" s="64" t="str">
        <f>'Both Shifts'!T76</f>
        <v/>
      </c>
      <c r="U29" s="64" t="str">
        <f>'Both Shifts'!U76</f>
        <v/>
      </c>
      <c r="V29" s="64" t="str">
        <f>'Both Shifts'!V76</f>
        <v/>
      </c>
      <c r="W29" s="64" t="str">
        <f>'Both Shifts'!W76</f>
        <v/>
      </c>
      <c r="X29" s="64" t="str">
        <f>'Both Shifts'!X76</f>
        <v/>
      </c>
      <c r="Y29" s="65" t="str">
        <f>'Both Shifts'!Y76</f>
        <v/>
      </c>
      <c r="Z29" s="8" t="str">
        <f>'Both Shifts'!Z76</f>
        <v/>
      </c>
      <c r="AA29" s="8" t="str">
        <f>'Both Shifts'!AA76</f>
        <v/>
      </c>
      <c r="AB29" s="23"/>
      <c r="AC29" s="8"/>
      <c r="AD29" s="8"/>
      <c r="AE29" s="8" t="str">
        <f t="shared" si="0"/>
        <v>TRUE</v>
      </c>
      <c r="AF29" s="1"/>
    </row>
    <row r="30" spans="1:32" x14ac:dyDescent="0.25">
      <c r="A30" s="1"/>
      <c r="B30" s="1"/>
      <c r="C30" s="1"/>
      <c r="D30" s="12"/>
      <c r="E30" s="12"/>
      <c r="F30" s="62" t="str">
        <f>IF(F27="","",0)</f>
        <v/>
      </c>
      <c r="G30" s="13"/>
      <c r="H30" s="34" t="str">
        <f>$F$5</f>
        <v>C</v>
      </c>
      <c r="I30" s="34" t="str">
        <f>$F$5&amp;J30</f>
        <v>C        FS08</v>
      </c>
      <c r="J30" s="67" t="str">
        <f>F26</f>
        <v xml:space="preserve">        FS08</v>
      </c>
      <c r="K30" s="67"/>
      <c r="L30" s="67" t="s">
        <v>19</v>
      </c>
      <c r="M30" s="67"/>
      <c r="N30" s="42">
        <f>SUMIF($D:$D,$I30,N:N)</f>
        <v>0</v>
      </c>
      <c r="O30" s="42">
        <f>SUMIF($D:$D,$I30,O:O)</f>
        <v>0</v>
      </c>
      <c r="P30" s="42">
        <f>SUMIF($D:$D,$I30,P:P)</f>
        <v>0</v>
      </c>
      <c r="Q30" s="42">
        <f>SUMIF($D:$D,$I30,Q:Q)</f>
        <v>0</v>
      </c>
      <c r="R30" s="42">
        <f>SUMIF($D:$D,$I30,R:R)</f>
        <v>0</v>
      </c>
      <c r="S30" s="42">
        <f>SUMIF($D:$D,$I30,S:S)</f>
        <v>0</v>
      </c>
      <c r="T30" s="42">
        <f>SUMIF($D:$D,$I30,T:T)</f>
        <v>0</v>
      </c>
      <c r="U30" s="42"/>
      <c r="V30" s="42">
        <f>SUMIF($D:$D,$I30,V:V)</f>
        <v>0</v>
      </c>
      <c r="W30" s="42">
        <f>SUMIF($D:$D,$I30,W:W)</f>
        <v>0</v>
      </c>
      <c r="X30" s="42">
        <f>SUMIF($D:$D,$I30,X:X)</f>
        <v>0</v>
      </c>
      <c r="Y30" s="26"/>
      <c r="Z30" s="26"/>
      <c r="AA30" s="27" t="e">
        <f>N30/O30*100</f>
        <v>#DIV/0!</v>
      </c>
      <c r="AB30" s="35"/>
      <c r="AC30" s="26"/>
      <c r="AD30" s="27"/>
      <c r="AE30" s="27" t="str">
        <f t="shared" si="0"/>
        <v>TRUE</v>
      </c>
      <c r="AF30" s="1"/>
    </row>
    <row r="31" spans="1:32" x14ac:dyDescent="0.25">
      <c r="A31" s="1"/>
      <c r="B31" s="1"/>
      <c r="C31" s="1"/>
      <c r="D31" s="14"/>
      <c r="E31" s="14" t="s">
        <v>22</v>
      </c>
      <c r="F31" s="18" t="s">
        <v>46</v>
      </c>
      <c r="G31" s="16" t="s">
        <v>70</v>
      </c>
      <c r="H31" s="54" t="str">
        <f>IF(H32="","DNR",0)</f>
        <v>DNR</v>
      </c>
      <c r="I31" s="53">
        <v>0</v>
      </c>
      <c r="J31" s="54">
        <v>0</v>
      </c>
      <c r="K31" s="54">
        <v>0</v>
      </c>
      <c r="L31" s="54">
        <v>0</v>
      </c>
      <c r="M31" s="54">
        <v>0</v>
      </c>
      <c r="N31" s="54" t="str">
        <f>IF(F32="","DNR",0)</f>
        <v>DNR</v>
      </c>
      <c r="O31" s="54">
        <v>0</v>
      </c>
      <c r="P31" s="54">
        <v>0</v>
      </c>
      <c r="Q31" s="54">
        <v>0</v>
      </c>
      <c r="R31" s="54">
        <v>0</v>
      </c>
      <c r="S31" s="54">
        <v>0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5">
        <v>0</v>
      </c>
      <c r="AB31" s="55"/>
      <c r="AC31" s="55"/>
      <c r="AD31" s="55"/>
      <c r="AE31" s="55" t="str">
        <f t="shared" si="0"/>
        <v>TRUE</v>
      </c>
      <c r="AF31" s="1"/>
    </row>
    <row r="32" spans="1:32" x14ac:dyDescent="0.25">
      <c r="A32" s="1"/>
      <c r="B32" s="1"/>
      <c r="C32" s="1"/>
      <c r="D32" s="5" t="str">
        <f>$F$5&amp;E32</f>
        <v>C        FS09</v>
      </c>
      <c r="E32" s="5" t="str">
        <f>'Both Shifts'!E79</f>
        <v xml:space="preserve">        FS09</v>
      </c>
      <c r="F32" s="5" t="str">
        <f>'Both Shifts'!F79</f>
        <v/>
      </c>
      <c r="G32" s="5" t="str">
        <f>'Both Shifts'!G79</f>
        <v/>
      </c>
      <c r="H32" s="5" t="str">
        <f>'Both Shifts'!H79</f>
        <v/>
      </c>
      <c r="I32" s="6" t="str">
        <f>'Both Shifts'!I79</f>
        <v/>
      </c>
      <c r="J32" s="7" t="str">
        <f>'Both Shifts'!J79</f>
        <v/>
      </c>
      <c r="K32" s="7" t="str">
        <f>'Both Shifts'!K79</f>
        <v/>
      </c>
      <c r="L32" s="8" t="str">
        <f>'Both Shifts'!L79</f>
        <v/>
      </c>
      <c r="M32" s="8" t="str">
        <f>'Both Shifts'!M79</f>
        <v/>
      </c>
      <c r="N32" s="64" t="str">
        <f>'Both Shifts'!N79</f>
        <v/>
      </c>
      <c r="O32" s="64" t="str">
        <f>'Both Shifts'!O79</f>
        <v/>
      </c>
      <c r="P32" s="64" t="str">
        <f>'Both Shifts'!P79</f>
        <v/>
      </c>
      <c r="Q32" s="64" t="str">
        <f>'Both Shifts'!Q79</f>
        <v/>
      </c>
      <c r="R32" s="64" t="str">
        <f>'Both Shifts'!R79</f>
        <v/>
      </c>
      <c r="S32" s="64" t="str">
        <f>'Both Shifts'!S79</f>
        <v/>
      </c>
      <c r="T32" s="64" t="str">
        <f>'Both Shifts'!T79</f>
        <v/>
      </c>
      <c r="U32" s="64" t="str">
        <f>'Both Shifts'!U79</f>
        <v/>
      </c>
      <c r="V32" s="64" t="str">
        <f>'Both Shifts'!V79</f>
        <v/>
      </c>
      <c r="W32" s="64" t="str">
        <f>'Both Shifts'!W79</f>
        <v/>
      </c>
      <c r="X32" s="64" t="str">
        <f>'Both Shifts'!X79</f>
        <v/>
      </c>
      <c r="Y32" s="65" t="str">
        <f>'Both Shifts'!Y79</f>
        <v/>
      </c>
      <c r="Z32" s="8" t="str">
        <f>'Both Shifts'!Z79</f>
        <v/>
      </c>
      <c r="AA32" s="8" t="str">
        <f>'Both Shifts'!AA79</f>
        <v/>
      </c>
      <c r="AB32" s="23"/>
      <c r="AC32" s="8"/>
      <c r="AD32" s="8"/>
      <c r="AE32" s="8" t="str">
        <f t="shared" si="0"/>
        <v>TRUE</v>
      </c>
      <c r="AF32" s="1"/>
    </row>
    <row r="33" spans="1:32" x14ac:dyDescent="0.25">
      <c r="A33" s="1"/>
      <c r="B33" s="1"/>
      <c r="C33" s="1"/>
      <c r="D33" s="5" t="str">
        <f>$F$5&amp;E33</f>
        <v>C        FS09</v>
      </c>
      <c r="E33" s="5" t="str">
        <f>'Both Shifts'!E80</f>
        <v xml:space="preserve">        FS09</v>
      </c>
      <c r="F33" s="5" t="str">
        <f>'Both Shifts'!F80</f>
        <v/>
      </c>
      <c r="G33" s="5" t="str">
        <f>'Both Shifts'!G80</f>
        <v/>
      </c>
      <c r="H33" s="5" t="str">
        <f>'Both Shifts'!H80</f>
        <v/>
      </c>
      <c r="I33" s="6" t="str">
        <f>'Both Shifts'!I80</f>
        <v/>
      </c>
      <c r="J33" s="7" t="str">
        <f>'Both Shifts'!J80</f>
        <v/>
      </c>
      <c r="K33" s="7" t="str">
        <f>'Both Shifts'!K80</f>
        <v/>
      </c>
      <c r="L33" s="8" t="str">
        <f>'Both Shifts'!L80</f>
        <v/>
      </c>
      <c r="M33" s="8" t="str">
        <f>'Both Shifts'!M80</f>
        <v/>
      </c>
      <c r="N33" s="64" t="str">
        <f>'Both Shifts'!N80</f>
        <v/>
      </c>
      <c r="O33" s="64" t="str">
        <f>'Both Shifts'!O80</f>
        <v/>
      </c>
      <c r="P33" s="64" t="str">
        <f>'Both Shifts'!P80</f>
        <v/>
      </c>
      <c r="Q33" s="64" t="str">
        <f>'Both Shifts'!Q80</f>
        <v/>
      </c>
      <c r="R33" s="64" t="str">
        <f>'Both Shifts'!R80</f>
        <v/>
      </c>
      <c r="S33" s="64" t="str">
        <f>'Both Shifts'!S80</f>
        <v/>
      </c>
      <c r="T33" s="64" t="str">
        <f>'Both Shifts'!T80</f>
        <v/>
      </c>
      <c r="U33" s="64" t="str">
        <f>'Both Shifts'!U80</f>
        <v/>
      </c>
      <c r="V33" s="64" t="str">
        <f>'Both Shifts'!V80</f>
        <v/>
      </c>
      <c r="W33" s="64" t="str">
        <f>'Both Shifts'!W80</f>
        <v/>
      </c>
      <c r="X33" s="64" t="str">
        <f>'Both Shifts'!X80</f>
        <v/>
      </c>
      <c r="Y33" s="65" t="str">
        <f>'Both Shifts'!Y80</f>
        <v/>
      </c>
      <c r="Z33" s="8" t="str">
        <f>'Both Shifts'!Z80</f>
        <v/>
      </c>
      <c r="AA33" s="8" t="str">
        <f>'Both Shifts'!AA80</f>
        <v/>
      </c>
      <c r="AB33" s="23"/>
      <c r="AC33" s="8"/>
      <c r="AD33" s="8"/>
      <c r="AE33" s="8" t="str">
        <f t="shared" si="0"/>
        <v>TRUE</v>
      </c>
      <c r="AF33" s="1"/>
    </row>
    <row r="34" spans="1:32" x14ac:dyDescent="0.25">
      <c r="A34" s="1"/>
      <c r="B34" s="1"/>
      <c r="C34" s="1"/>
      <c r="D34" s="5" t="str">
        <f t="shared" ref="D34" si="6">$F$5&amp;E34</f>
        <v>C        FS09</v>
      </c>
      <c r="E34" s="5" t="str">
        <f>'Both Shifts'!E81</f>
        <v xml:space="preserve">        FS09</v>
      </c>
      <c r="F34" s="5" t="str">
        <f>'Both Shifts'!F81</f>
        <v/>
      </c>
      <c r="G34" s="5" t="str">
        <f>'Both Shifts'!G81</f>
        <v/>
      </c>
      <c r="H34" s="5" t="str">
        <f>'Both Shifts'!H81</f>
        <v/>
      </c>
      <c r="I34" s="6" t="str">
        <f>'Both Shifts'!I81</f>
        <v/>
      </c>
      <c r="J34" s="7" t="str">
        <f>'Both Shifts'!J81</f>
        <v/>
      </c>
      <c r="K34" s="7" t="str">
        <f>'Both Shifts'!K81</f>
        <v/>
      </c>
      <c r="L34" s="8" t="str">
        <f>'Both Shifts'!L81</f>
        <v/>
      </c>
      <c r="M34" s="8" t="str">
        <f>'Both Shifts'!M81</f>
        <v/>
      </c>
      <c r="N34" s="64" t="str">
        <f>'Both Shifts'!N81</f>
        <v/>
      </c>
      <c r="O34" s="64" t="str">
        <f>'Both Shifts'!O81</f>
        <v/>
      </c>
      <c r="P34" s="64" t="str">
        <f>'Both Shifts'!P81</f>
        <v/>
      </c>
      <c r="Q34" s="64" t="str">
        <f>'Both Shifts'!Q81</f>
        <v/>
      </c>
      <c r="R34" s="64" t="str">
        <f>'Both Shifts'!R81</f>
        <v/>
      </c>
      <c r="S34" s="64" t="str">
        <f>'Both Shifts'!S81</f>
        <v/>
      </c>
      <c r="T34" s="64" t="str">
        <f>'Both Shifts'!T81</f>
        <v/>
      </c>
      <c r="U34" s="64" t="str">
        <f>'Both Shifts'!U81</f>
        <v/>
      </c>
      <c r="V34" s="64" t="str">
        <f>'Both Shifts'!V81</f>
        <v/>
      </c>
      <c r="W34" s="64" t="str">
        <f>'Both Shifts'!W81</f>
        <v/>
      </c>
      <c r="X34" s="64" t="str">
        <f>'Both Shifts'!X81</f>
        <v/>
      </c>
      <c r="Y34" s="65" t="str">
        <f>'Both Shifts'!Y81</f>
        <v/>
      </c>
      <c r="Z34" s="8" t="str">
        <f>'Both Shifts'!Z81</f>
        <v/>
      </c>
      <c r="AA34" s="8" t="str">
        <f>'Both Shifts'!AA81</f>
        <v/>
      </c>
      <c r="AB34" s="23"/>
      <c r="AC34" s="8"/>
      <c r="AD34" s="8"/>
      <c r="AE34" s="8" t="str">
        <f t="shared" si="0"/>
        <v>TRUE</v>
      </c>
      <c r="AF34" s="1"/>
    </row>
    <row r="35" spans="1:32" x14ac:dyDescent="0.25">
      <c r="A35" s="1"/>
      <c r="B35" s="1"/>
      <c r="C35" s="1"/>
      <c r="D35" s="12"/>
      <c r="E35" s="12"/>
      <c r="F35" s="62" t="str">
        <f>IF(F32="","",0)</f>
        <v/>
      </c>
      <c r="G35" s="13"/>
      <c r="H35" s="34" t="str">
        <f>$F$5</f>
        <v>C</v>
      </c>
      <c r="I35" s="34" t="str">
        <f>$F$5&amp;J35</f>
        <v>C        FS09</v>
      </c>
      <c r="J35" s="67" t="str">
        <f>F31</f>
        <v xml:space="preserve">        FS09</v>
      </c>
      <c r="K35" s="67"/>
      <c r="L35" s="67" t="s">
        <v>19</v>
      </c>
      <c r="M35" s="67"/>
      <c r="N35" s="42">
        <f>SUMIF($D:$D,$I35,N:N)</f>
        <v>0</v>
      </c>
      <c r="O35" s="42">
        <f>SUMIF($D:$D,$I35,O:O)</f>
        <v>0</v>
      </c>
      <c r="P35" s="42">
        <f>SUMIF($D:$D,$I35,P:P)</f>
        <v>0</v>
      </c>
      <c r="Q35" s="42">
        <f>SUMIF($D:$D,$I35,Q:Q)</f>
        <v>0</v>
      </c>
      <c r="R35" s="42">
        <f>SUMIF($D:$D,$I35,R:R)</f>
        <v>0</v>
      </c>
      <c r="S35" s="42">
        <f>SUMIF($D:$D,$I35,S:S)</f>
        <v>0</v>
      </c>
      <c r="T35" s="42">
        <f>SUMIF($D:$D,$I35,T:T)</f>
        <v>0</v>
      </c>
      <c r="U35" s="42"/>
      <c r="V35" s="42">
        <f>SUMIF($D:$D,$I35,V:V)</f>
        <v>0</v>
      </c>
      <c r="W35" s="42">
        <f>SUMIF($D:$D,$I35,W:W)</f>
        <v>0</v>
      </c>
      <c r="X35" s="42">
        <f>SUMIF($D:$D,$I35,X:X)</f>
        <v>0</v>
      </c>
      <c r="Y35" s="26"/>
      <c r="Z35" s="26"/>
      <c r="AA35" s="27" t="e">
        <f>N35/O35*100</f>
        <v>#DIV/0!</v>
      </c>
      <c r="AB35" s="41"/>
      <c r="AC35" s="41"/>
      <c r="AD35" s="37"/>
      <c r="AE35" s="37" t="str">
        <f t="shared" si="0"/>
        <v>TRUE</v>
      </c>
      <c r="AF35" s="1"/>
    </row>
    <row r="36" spans="1:32" x14ac:dyDescent="0.25">
      <c r="A36" s="1"/>
      <c r="B36" s="1"/>
      <c r="C36" s="1"/>
      <c r="D36" s="14"/>
      <c r="E36" s="14" t="s">
        <v>22</v>
      </c>
      <c r="F36" s="18" t="s">
        <v>31</v>
      </c>
      <c r="G36" s="16" t="s">
        <v>32</v>
      </c>
      <c r="H36" s="54">
        <f>IF(H37="","DNR",0)</f>
        <v>0</v>
      </c>
      <c r="I36" s="53">
        <v>0</v>
      </c>
      <c r="J36" s="54">
        <v>0</v>
      </c>
      <c r="K36" s="54">
        <v>0</v>
      </c>
      <c r="L36" s="54">
        <v>0</v>
      </c>
      <c r="M36" s="54">
        <v>0</v>
      </c>
      <c r="N36" s="54">
        <f>IF(F37="","DNR",0)</f>
        <v>0</v>
      </c>
      <c r="O36" s="54">
        <v>0</v>
      </c>
      <c r="P36" s="54">
        <v>0</v>
      </c>
      <c r="Q36" s="54">
        <v>0</v>
      </c>
      <c r="R36" s="54">
        <v>0</v>
      </c>
      <c r="S36" s="54">
        <v>0</v>
      </c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5">
        <v>0</v>
      </c>
      <c r="AB36" s="16"/>
      <c r="AC36" s="16"/>
      <c r="AD36" s="17"/>
      <c r="AE36" s="17" t="b">
        <f t="shared" si="0"/>
        <v>0</v>
      </c>
      <c r="AF36" s="1"/>
    </row>
    <row r="37" spans="1:32" x14ac:dyDescent="0.25">
      <c r="A37" s="1"/>
      <c r="B37" s="1"/>
      <c r="C37" s="1"/>
      <c r="D37" s="5" t="str">
        <f>$F$5&amp;E37</f>
        <v>C        FS10</v>
      </c>
      <c r="E37" s="5" t="str">
        <f>'Both Shifts'!E84</f>
        <v xml:space="preserve">        FS10</v>
      </c>
      <c r="F37" s="5">
        <f>'Both Shifts'!F84</f>
        <v>63009647</v>
      </c>
      <c r="G37" s="5" t="str">
        <f>'Both Shifts'!G84</f>
        <v>KAH 40 12/1L 16 US</v>
      </c>
      <c r="H37" s="5">
        <f>'Both Shifts'!H84</f>
        <v>409039</v>
      </c>
      <c r="I37" s="6">
        <f>'Both Shifts'!I84</f>
        <v>44901</v>
      </c>
      <c r="J37" s="7">
        <f>'Both Shifts'!J84</f>
        <v>0.64583333333333337</v>
      </c>
      <c r="K37" s="7">
        <f>'Both Shifts'!K84</f>
        <v>0.99930555555555556</v>
      </c>
      <c r="L37" s="8">
        <f>'Both Shifts'!L84</f>
        <v>21</v>
      </c>
      <c r="M37" s="8">
        <f>'Both Shifts'!M84</f>
        <v>7</v>
      </c>
      <c r="N37" s="64">
        <f>'Both Shifts'!N84</f>
        <v>5912</v>
      </c>
      <c r="O37" s="64">
        <f>'Both Shifts'!O84</f>
        <v>9875</v>
      </c>
      <c r="P37" s="64">
        <f>'Both Shifts'!P84</f>
        <v>509</v>
      </c>
      <c r="Q37" s="64">
        <f>'Both Shifts'!Q84</f>
        <v>35</v>
      </c>
      <c r="R37" s="64">
        <f>'Both Shifts'!R84</f>
        <v>0</v>
      </c>
      <c r="S37" s="64">
        <f>'Both Shifts'!S84</f>
        <v>0</v>
      </c>
      <c r="T37" s="64">
        <f>'Both Shifts'!T84</f>
        <v>0</v>
      </c>
      <c r="U37" s="64">
        <f>'Both Shifts'!U84</f>
        <v>0</v>
      </c>
      <c r="V37" s="64">
        <f>'Both Shifts'!V84</f>
        <v>0</v>
      </c>
      <c r="W37" s="64">
        <f>'Both Shifts'!W84</f>
        <v>14</v>
      </c>
      <c r="X37" s="64">
        <f>'Both Shifts'!X84</f>
        <v>474</v>
      </c>
      <c r="Y37" s="65">
        <f>'Both Shifts'!Y84</f>
        <v>250</v>
      </c>
      <c r="Z37" s="8" t="str">
        <f>'Both Shifts'!Z84</f>
        <v/>
      </c>
      <c r="AA37" s="8">
        <f>'Both Shifts'!AA84</f>
        <v>59.87</v>
      </c>
      <c r="AB37" s="23"/>
      <c r="AC37" s="8"/>
      <c r="AD37" s="8"/>
      <c r="AE37" s="8" t="b">
        <f t="shared" si="0"/>
        <v>0</v>
      </c>
      <c r="AF37" s="1"/>
    </row>
    <row r="38" spans="1:32" x14ac:dyDescent="0.25">
      <c r="A38" s="1"/>
      <c r="B38" s="1"/>
      <c r="C38" s="1"/>
      <c r="D38" s="5" t="str">
        <f t="shared" ref="D38:D39" si="7">$F$5&amp;E38</f>
        <v>C        FS10</v>
      </c>
      <c r="E38" s="5" t="str">
        <f>'Both Shifts'!E85</f>
        <v xml:space="preserve">        FS10</v>
      </c>
      <c r="F38" s="5">
        <f>'Both Shifts'!F85</f>
        <v>96308001</v>
      </c>
      <c r="G38" s="5" t="str">
        <f>'Both Shifts'!G85</f>
        <v>SB PBW MF 12/750 MF CP</v>
      </c>
      <c r="H38" s="5">
        <f>'Both Shifts'!H85</f>
        <v>409595</v>
      </c>
      <c r="I38" s="6">
        <f>'Both Shifts'!I85</f>
        <v>44901</v>
      </c>
      <c r="J38" s="7">
        <f>'Both Shifts'!J85</f>
        <v>0.99930555555555556</v>
      </c>
      <c r="K38" s="7">
        <f>'Both Shifts'!K85</f>
        <v>8.3333333333333329E-2</v>
      </c>
      <c r="L38" s="8">
        <f>'Both Shifts'!L85</f>
        <v>0</v>
      </c>
      <c r="M38" s="8">
        <f>'Both Shifts'!M85</f>
        <v>13</v>
      </c>
      <c r="N38" s="64">
        <f>'Both Shifts'!N85</f>
        <v>0</v>
      </c>
      <c r="O38" s="64">
        <f>'Both Shifts'!O85</f>
        <v>0</v>
      </c>
      <c r="P38" s="64">
        <f>'Both Shifts'!P85</f>
        <v>121</v>
      </c>
      <c r="Q38" s="64">
        <f>'Both Shifts'!Q85</f>
        <v>0</v>
      </c>
      <c r="R38" s="64">
        <f>'Both Shifts'!R85</f>
        <v>0</v>
      </c>
      <c r="S38" s="64">
        <f>'Both Shifts'!S85</f>
        <v>121</v>
      </c>
      <c r="T38" s="64">
        <f>'Both Shifts'!T85</f>
        <v>0</v>
      </c>
      <c r="U38" s="64">
        <f>'Both Shifts'!U85</f>
        <v>0</v>
      </c>
      <c r="V38" s="64">
        <f>'Both Shifts'!V85</f>
        <v>20.170000000000002</v>
      </c>
      <c r="W38" s="64">
        <f>'Both Shifts'!W85</f>
        <v>14</v>
      </c>
      <c r="X38" s="64">
        <f>'Both Shifts'!X85</f>
        <v>0</v>
      </c>
      <c r="Y38" s="65">
        <f>'Both Shifts'!Y85</f>
        <v>280</v>
      </c>
      <c r="Z38" s="8" t="str">
        <f>'Both Shifts'!Z85</f>
        <v/>
      </c>
      <c r="AA38" s="8">
        <f>'Both Shifts'!AA85</f>
        <v>0</v>
      </c>
      <c r="AB38" s="23"/>
      <c r="AC38" s="8"/>
      <c r="AD38" s="8"/>
      <c r="AE38" s="8" t="b">
        <f t="shared" si="0"/>
        <v>0</v>
      </c>
      <c r="AF38" s="1"/>
    </row>
    <row r="39" spans="1:32" x14ac:dyDescent="0.25">
      <c r="A39" s="1"/>
      <c r="B39" s="1"/>
      <c r="C39" s="1"/>
      <c r="D39" s="5" t="str">
        <f t="shared" si="7"/>
        <v>C        FS10</v>
      </c>
      <c r="E39" s="5" t="str">
        <f>'Both Shifts'!E86</f>
        <v xml:space="preserve">        FS10</v>
      </c>
      <c r="F39" s="5" t="str">
        <f>'Both Shifts'!F86</f>
        <v/>
      </c>
      <c r="G39" s="5" t="str">
        <f>'Both Shifts'!G86</f>
        <v/>
      </c>
      <c r="H39" s="5" t="str">
        <f>'Both Shifts'!H86</f>
        <v/>
      </c>
      <c r="I39" s="6" t="str">
        <f>'Both Shifts'!I86</f>
        <v/>
      </c>
      <c r="J39" s="7" t="str">
        <f>'Both Shifts'!J86</f>
        <v/>
      </c>
      <c r="K39" s="7" t="str">
        <f>'Both Shifts'!K86</f>
        <v/>
      </c>
      <c r="L39" s="8" t="str">
        <f>'Both Shifts'!L86</f>
        <v/>
      </c>
      <c r="M39" s="8" t="str">
        <f>'Both Shifts'!M86</f>
        <v/>
      </c>
      <c r="N39" s="64" t="str">
        <f>'Both Shifts'!N86</f>
        <v/>
      </c>
      <c r="O39" s="64" t="str">
        <f>'Both Shifts'!O86</f>
        <v/>
      </c>
      <c r="P39" s="64" t="str">
        <f>'Both Shifts'!P86</f>
        <v/>
      </c>
      <c r="Q39" s="64" t="str">
        <f>'Both Shifts'!Q86</f>
        <v/>
      </c>
      <c r="R39" s="64" t="str">
        <f>'Both Shifts'!R86</f>
        <v/>
      </c>
      <c r="S39" s="64" t="str">
        <f>'Both Shifts'!S86</f>
        <v/>
      </c>
      <c r="T39" s="64" t="str">
        <f>'Both Shifts'!T86</f>
        <v/>
      </c>
      <c r="U39" s="64" t="str">
        <f>'Both Shifts'!U86</f>
        <v/>
      </c>
      <c r="V39" s="64" t="str">
        <f>'Both Shifts'!V86</f>
        <v/>
      </c>
      <c r="W39" s="64" t="str">
        <f>'Both Shifts'!W86</f>
        <v/>
      </c>
      <c r="X39" s="64" t="str">
        <f>'Both Shifts'!X86</f>
        <v/>
      </c>
      <c r="Y39" s="65" t="str">
        <f>'Both Shifts'!Y86</f>
        <v/>
      </c>
      <c r="Z39" s="8" t="str">
        <f>'Both Shifts'!Z86</f>
        <v/>
      </c>
      <c r="AA39" s="8" t="str">
        <f>'Both Shifts'!AA86</f>
        <v/>
      </c>
      <c r="AB39" s="23"/>
      <c r="AC39" s="8"/>
      <c r="AD39" s="8"/>
      <c r="AE39" s="8" t="str">
        <f t="shared" si="0"/>
        <v>TRUE</v>
      </c>
      <c r="AF39" s="1"/>
    </row>
    <row r="40" spans="1:32" x14ac:dyDescent="0.25">
      <c r="A40" s="1"/>
      <c r="B40" s="1"/>
      <c r="C40" s="1"/>
      <c r="D40" s="5" t="str">
        <f>$F$5&amp;E40</f>
        <v>C        FS10</v>
      </c>
      <c r="E40" s="5" t="str">
        <f>'Both Shifts'!E87</f>
        <v xml:space="preserve">        FS10</v>
      </c>
      <c r="F40" s="5" t="str">
        <f>'Both Shifts'!F87</f>
        <v/>
      </c>
      <c r="G40" s="5" t="str">
        <f>'Both Shifts'!G87</f>
        <v/>
      </c>
      <c r="H40" s="5" t="str">
        <f>'Both Shifts'!H87</f>
        <v/>
      </c>
      <c r="I40" s="6" t="str">
        <f>'Both Shifts'!I87</f>
        <v/>
      </c>
      <c r="J40" s="7" t="str">
        <f>'Both Shifts'!J87</f>
        <v/>
      </c>
      <c r="K40" s="7" t="str">
        <f>'Both Shifts'!K87</f>
        <v/>
      </c>
      <c r="L40" s="8" t="str">
        <f>'Both Shifts'!L87</f>
        <v/>
      </c>
      <c r="M40" s="8" t="str">
        <f>'Both Shifts'!M87</f>
        <v/>
      </c>
      <c r="N40" s="64" t="str">
        <f>'Both Shifts'!N87</f>
        <v/>
      </c>
      <c r="O40" s="64" t="str">
        <f>'Both Shifts'!O87</f>
        <v/>
      </c>
      <c r="P40" s="64" t="str">
        <f>'Both Shifts'!P87</f>
        <v/>
      </c>
      <c r="Q40" s="64" t="str">
        <f>'Both Shifts'!Q87</f>
        <v/>
      </c>
      <c r="R40" s="64" t="str">
        <f>'Both Shifts'!R87</f>
        <v/>
      </c>
      <c r="S40" s="64" t="str">
        <f>'Both Shifts'!S87</f>
        <v/>
      </c>
      <c r="T40" s="64" t="str">
        <f>'Both Shifts'!T87</f>
        <v/>
      </c>
      <c r="U40" s="64" t="str">
        <f>'Both Shifts'!U87</f>
        <v/>
      </c>
      <c r="V40" s="64" t="str">
        <f>'Both Shifts'!V87</f>
        <v/>
      </c>
      <c r="W40" s="64" t="str">
        <f>'Both Shifts'!W87</f>
        <v/>
      </c>
      <c r="X40" s="64" t="str">
        <f>'Both Shifts'!X87</f>
        <v/>
      </c>
      <c r="Y40" s="65" t="str">
        <f>'Both Shifts'!Y87</f>
        <v/>
      </c>
      <c r="Z40" s="8" t="str">
        <f>'Both Shifts'!Z87</f>
        <v/>
      </c>
      <c r="AA40" s="8" t="str">
        <f>'Both Shifts'!AA87</f>
        <v/>
      </c>
      <c r="AB40" s="23"/>
      <c r="AC40" s="8"/>
      <c r="AD40" s="8"/>
      <c r="AE40" s="8" t="str">
        <f t="shared" si="0"/>
        <v>TRUE</v>
      </c>
      <c r="AF40" s="1"/>
    </row>
    <row r="41" spans="1:32" x14ac:dyDescent="0.25">
      <c r="A41" s="1"/>
      <c r="B41" s="1"/>
      <c r="C41" s="1"/>
      <c r="D41" s="5" t="str">
        <f t="shared" ref="D41" si="8">$F$5&amp;E41</f>
        <v>C        FS10</v>
      </c>
      <c r="E41" s="5" t="str">
        <f>'Both Shifts'!E88</f>
        <v xml:space="preserve">        FS10</v>
      </c>
      <c r="F41" s="5" t="str">
        <f>'Both Shifts'!F88</f>
        <v/>
      </c>
      <c r="G41" s="5" t="str">
        <f>'Both Shifts'!G88</f>
        <v/>
      </c>
      <c r="H41" s="5" t="str">
        <f>'Both Shifts'!H88</f>
        <v/>
      </c>
      <c r="I41" s="6" t="str">
        <f>'Both Shifts'!I88</f>
        <v/>
      </c>
      <c r="J41" s="7" t="str">
        <f>'Both Shifts'!J88</f>
        <v/>
      </c>
      <c r="K41" s="7" t="str">
        <f>'Both Shifts'!K88</f>
        <v/>
      </c>
      <c r="L41" s="8" t="str">
        <f>'Both Shifts'!L88</f>
        <v/>
      </c>
      <c r="M41" s="8" t="str">
        <f>'Both Shifts'!M88</f>
        <v/>
      </c>
      <c r="N41" s="64" t="str">
        <f>'Both Shifts'!N88</f>
        <v/>
      </c>
      <c r="O41" s="64" t="str">
        <f>'Both Shifts'!O88</f>
        <v/>
      </c>
      <c r="P41" s="64" t="str">
        <f>'Both Shifts'!P88</f>
        <v/>
      </c>
      <c r="Q41" s="64" t="str">
        <f>'Both Shifts'!Q88</f>
        <v/>
      </c>
      <c r="R41" s="64" t="str">
        <f>'Both Shifts'!R88</f>
        <v/>
      </c>
      <c r="S41" s="64" t="str">
        <f>'Both Shifts'!S88</f>
        <v/>
      </c>
      <c r="T41" s="64" t="str">
        <f>'Both Shifts'!T88</f>
        <v/>
      </c>
      <c r="U41" s="64" t="str">
        <f>'Both Shifts'!U88</f>
        <v/>
      </c>
      <c r="V41" s="64" t="str">
        <f>'Both Shifts'!V88</f>
        <v/>
      </c>
      <c r="W41" s="64" t="str">
        <f>'Both Shifts'!W88</f>
        <v/>
      </c>
      <c r="X41" s="64" t="str">
        <f>'Both Shifts'!X88</f>
        <v/>
      </c>
      <c r="Y41" s="65" t="str">
        <f>'Both Shifts'!Y88</f>
        <v/>
      </c>
      <c r="Z41" s="8" t="str">
        <f>'Both Shifts'!Z88</f>
        <v/>
      </c>
      <c r="AA41" s="8" t="str">
        <f>'Both Shifts'!AA88</f>
        <v/>
      </c>
      <c r="AB41" s="23"/>
      <c r="AC41" s="8"/>
      <c r="AD41" s="8"/>
      <c r="AE41" s="8" t="str">
        <f t="shared" si="0"/>
        <v>TRUE</v>
      </c>
      <c r="AF41" s="1"/>
    </row>
    <row r="42" spans="1:32" x14ac:dyDescent="0.25">
      <c r="A42" s="1"/>
      <c r="B42" s="1"/>
      <c r="C42" s="1"/>
      <c r="D42" s="12"/>
      <c r="E42" s="12"/>
      <c r="F42" s="62">
        <f>IF(F37="","",0)</f>
        <v>0</v>
      </c>
      <c r="G42" s="13"/>
      <c r="H42" s="34" t="str">
        <f>$F$5</f>
        <v>C</v>
      </c>
      <c r="I42" s="34" t="str">
        <f>$F$5&amp;J42</f>
        <v>C        FS10</v>
      </c>
      <c r="J42" s="67" t="str">
        <f>F36</f>
        <v xml:space="preserve">        FS10</v>
      </c>
      <c r="K42" s="67"/>
      <c r="L42" s="67" t="s">
        <v>19</v>
      </c>
      <c r="M42" s="67"/>
      <c r="N42" s="42">
        <f>SUMIF($D:$D,$I42,N:N)</f>
        <v>5912</v>
      </c>
      <c r="O42" s="42">
        <f>SUMIF($D:$D,$I42,O:O)</f>
        <v>9875</v>
      </c>
      <c r="P42" s="42">
        <f>SUMIF($D:$D,$I42,P:P)</f>
        <v>630</v>
      </c>
      <c r="Q42" s="42">
        <f>SUMIF($D:$D,$I42,Q:Q)</f>
        <v>35</v>
      </c>
      <c r="R42" s="42">
        <f>SUMIF($D:$D,$I42,R:R)</f>
        <v>0</v>
      </c>
      <c r="S42" s="42">
        <f>SUMIF($D:$D,$I42,S:S)</f>
        <v>121</v>
      </c>
      <c r="T42" s="42">
        <f>SUMIF($D:$D,$I42,T:T)</f>
        <v>0</v>
      </c>
      <c r="U42" s="42"/>
      <c r="V42" s="42">
        <f>SUMIF($D:$D,$I42,V:V)</f>
        <v>20.170000000000002</v>
      </c>
      <c r="W42" s="42">
        <f>SUMIF($D:$D,$I42,W:W)</f>
        <v>28</v>
      </c>
      <c r="X42" s="42">
        <f>SUMIF($D:$D,$I42,X:X)</f>
        <v>474</v>
      </c>
      <c r="Y42" s="26"/>
      <c r="Z42" s="26"/>
      <c r="AA42" s="27">
        <f>N42/O42*100</f>
        <v>59.868354430379746</v>
      </c>
      <c r="AB42" s="35"/>
      <c r="AC42" s="26"/>
      <c r="AD42" s="27"/>
      <c r="AE42" s="27" t="b">
        <f t="shared" si="0"/>
        <v>0</v>
      </c>
      <c r="AF42" s="1"/>
    </row>
    <row r="43" spans="1:32" x14ac:dyDescent="0.25">
      <c r="A43" s="1"/>
      <c r="B43" s="1"/>
      <c r="C43" s="1"/>
      <c r="D43" s="14"/>
      <c r="E43" s="14" t="s">
        <v>22</v>
      </c>
      <c r="F43" s="18" t="s">
        <v>33</v>
      </c>
      <c r="G43" s="16" t="s">
        <v>34</v>
      </c>
      <c r="H43" s="54">
        <f>IF(H44="","DNR",0)</f>
        <v>0</v>
      </c>
      <c r="I43" s="53">
        <v>0</v>
      </c>
      <c r="J43" s="54">
        <v>0</v>
      </c>
      <c r="K43" s="54">
        <v>0</v>
      </c>
      <c r="L43" s="54">
        <v>0</v>
      </c>
      <c r="M43" s="54">
        <v>0</v>
      </c>
      <c r="N43" s="54">
        <f>IF(F44="","DNR",0)</f>
        <v>0</v>
      </c>
      <c r="O43" s="54">
        <v>0</v>
      </c>
      <c r="P43" s="54">
        <v>0</v>
      </c>
      <c r="Q43" s="54">
        <v>0</v>
      </c>
      <c r="R43" s="54">
        <v>0</v>
      </c>
      <c r="S43" s="54">
        <v>0</v>
      </c>
      <c r="T43" s="54">
        <v>0</v>
      </c>
      <c r="U43" s="54">
        <v>0</v>
      </c>
      <c r="V43" s="54">
        <v>0</v>
      </c>
      <c r="W43" s="54">
        <v>0</v>
      </c>
      <c r="X43" s="54">
        <v>0</v>
      </c>
      <c r="Y43" s="54">
        <v>0</v>
      </c>
      <c r="Z43" s="54">
        <v>0</v>
      </c>
      <c r="AA43" s="55">
        <v>0</v>
      </c>
      <c r="AB43" s="16"/>
      <c r="AC43" s="16"/>
      <c r="AD43" s="17"/>
      <c r="AE43" s="17" t="b">
        <f t="shared" si="0"/>
        <v>0</v>
      </c>
      <c r="AF43" s="1"/>
    </row>
    <row r="44" spans="1:32" x14ac:dyDescent="0.25">
      <c r="A44" s="1"/>
      <c r="B44" s="1"/>
      <c r="C44" s="1"/>
      <c r="D44" s="5" t="str">
        <f>$F$5&amp;E44</f>
        <v>C        FS12</v>
      </c>
      <c r="E44" s="5" t="str">
        <f>'Both Shifts'!E91</f>
        <v xml:space="preserve">        FS12</v>
      </c>
      <c r="F44" s="5">
        <f>'Both Shifts'!F91</f>
        <v>63012825</v>
      </c>
      <c r="G44" s="5" t="str">
        <f>'Both Shifts'!G91</f>
        <v>KAH 32 6/1.75L PT 20 CA</v>
      </c>
      <c r="H44" s="5">
        <f>'Both Shifts'!H91</f>
        <v>409093</v>
      </c>
      <c r="I44" s="6">
        <f>'Both Shifts'!I91</f>
        <v>44901</v>
      </c>
      <c r="J44" s="7">
        <f>'Both Shifts'!J91</f>
        <v>0.64583333333333337</v>
      </c>
      <c r="K44" s="7">
        <f>'Both Shifts'!K91</f>
        <v>8.3333333333333329E-2</v>
      </c>
      <c r="L44" s="8">
        <f>'Both Shifts'!L91</f>
        <v>7</v>
      </c>
      <c r="M44" s="8">
        <f>'Both Shifts'!M91</f>
        <v>5</v>
      </c>
      <c r="N44" s="64">
        <f>'Both Shifts'!N91</f>
        <v>2914</v>
      </c>
      <c r="O44" s="64">
        <f>'Both Shifts'!O91</f>
        <v>9625</v>
      </c>
      <c r="P44" s="64">
        <f>'Both Shifts'!P91</f>
        <v>630</v>
      </c>
      <c r="Q44" s="64">
        <f>'Both Shifts'!Q91</f>
        <v>85</v>
      </c>
      <c r="R44" s="64">
        <f>'Both Shifts'!R91</f>
        <v>0</v>
      </c>
      <c r="S44" s="64">
        <f>'Both Shifts'!S91</f>
        <v>0</v>
      </c>
      <c r="T44" s="64">
        <f>'Both Shifts'!T91</f>
        <v>20</v>
      </c>
      <c r="U44" s="64">
        <f>'Both Shifts'!U91</f>
        <v>0</v>
      </c>
      <c r="V44" s="64">
        <f>'Both Shifts'!V91</f>
        <v>0</v>
      </c>
      <c r="W44" s="64">
        <f>'Both Shifts'!W91</f>
        <v>10</v>
      </c>
      <c r="X44" s="64">
        <f>'Both Shifts'!X91</f>
        <v>525</v>
      </c>
      <c r="Y44" s="65">
        <f>'Both Shifts'!Y91</f>
        <v>110</v>
      </c>
      <c r="Z44" s="8" t="str">
        <f>'Both Shifts'!Z91</f>
        <v/>
      </c>
      <c r="AA44" s="8">
        <f>'Both Shifts'!AA91</f>
        <v>30.28</v>
      </c>
      <c r="AB44" s="23"/>
      <c r="AC44" s="8"/>
      <c r="AD44" s="8"/>
      <c r="AE44" s="8" t="b">
        <f t="shared" si="0"/>
        <v>0</v>
      </c>
      <c r="AF44" s="1"/>
    </row>
    <row r="45" spans="1:32" x14ac:dyDescent="0.25">
      <c r="A45" s="1"/>
      <c r="B45" s="1"/>
      <c r="C45" s="1"/>
      <c r="D45" s="5" t="str">
        <f>$F$5&amp;E45</f>
        <v>C        FS12</v>
      </c>
      <c r="E45" s="5" t="str">
        <f>'Both Shifts'!E92</f>
        <v xml:space="preserve">        FS12</v>
      </c>
      <c r="F45" s="5" t="str">
        <f>'Both Shifts'!F92</f>
        <v/>
      </c>
      <c r="G45" s="5" t="str">
        <f>'Both Shifts'!G92</f>
        <v/>
      </c>
      <c r="H45" s="5" t="str">
        <f>'Both Shifts'!H92</f>
        <v/>
      </c>
      <c r="I45" s="6" t="str">
        <f>'Both Shifts'!I92</f>
        <v/>
      </c>
      <c r="J45" s="7" t="str">
        <f>'Both Shifts'!J92</f>
        <v/>
      </c>
      <c r="K45" s="7" t="str">
        <f>'Both Shifts'!K92</f>
        <v/>
      </c>
      <c r="L45" s="8" t="str">
        <f>'Both Shifts'!L92</f>
        <v/>
      </c>
      <c r="M45" s="8" t="str">
        <f>'Both Shifts'!M92</f>
        <v/>
      </c>
      <c r="N45" s="64" t="str">
        <f>'Both Shifts'!N92</f>
        <v/>
      </c>
      <c r="O45" s="64" t="str">
        <f>'Both Shifts'!O92</f>
        <v/>
      </c>
      <c r="P45" s="64" t="str">
        <f>'Both Shifts'!P92</f>
        <v/>
      </c>
      <c r="Q45" s="64" t="str">
        <f>'Both Shifts'!Q92</f>
        <v/>
      </c>
      <c r="R45" s="64" t="str">
        <f>'Both Shifts'!R92</f>
        <v/>
      </c>
      <c r="S45" s="64" t="str">
        <f>'Both Shifts'!S92</f>
        <v/>
      </c>
      <c r="T45" s="64" t="str">
        <f>'Both Shifts'!T92</f>
        <v/>
      </c>
      <c r="U45" s="64" t="str">
        <f>'Both Shifts'!U92</f>
        <v/>
      </c>
      <c r="V45" s="64" t="str">
        <f>'Both Shifts'!V92</f>
        <v/>
      </c>
      <c r="W45" s="64" t="str">
        <f>'Both Shifts'!W92</f>
        <v/>
      </c>
      <c r="X45" s="64" t="str">
        <f>'Both Shifts'!X92</f>
        <v/>
      </c>
      <c r="Y45" s="65" t="str">
        <f>'Both Shifts'!Y92</f>
        <v/>
      </c>
      <c r="Z45" s="8" t="str">
        <f>'Both Shifts'!Z92</f>
        <v/>
      </c>
      <c r="AA45" s="8" t="str">
        <f>'Both Shifts'!AA92</f>
        <v/>
      </c>
      <c r="AB45" s="23"/>
      <c r="AC45" s="8"/>
      <c r="AD45" s="8"/>
      <c r="AE45" s="8" t="str">
        <f t="shared" si="0"/>
        <v>TRUE</v>
      </c>
      <c r="AF45" s="1"/>
    </row>
    <row r="46" spans="1:32" x14ac:dyDescent="0.25">
      <c r="A46" s="1"/>
      <c r="B46" s="1"/>
      <c r="C46" s="1"/>
      <c r="D46" s="5" t="str">
        <f t="shared" ref="D46" si="9">$F$5&amp;E46</f>
        <v>C        FS12</v>
      </c>
      <c r="E46" s="5" t="str">
        <f>'Both Shifts'!E93</f>
        <v xml:space="preserve">        FS12</v>
      </c>
      <c r="F46" s="5" t="str">
        <f>'Both Shifts'!F93</f>
        <v/>
      </c>
      <c r="G46" s="5" t="str">
        <f>'Both Shifts'!G93</f>
        <v/>
      </c>
      <c r="H46" s="5" t="str">
        <f>'Both Shifts'!H93</f>
        <v/>
      </c>
      <c r="I46" s="6" t="str">
        <f>'Both Shifts'!I93</f>
        <v/>
      </c>
      <c r="J46" s="7" t="str">
        <f>'Both Shifts'!J93</f>
        <v/>
      </c>
      <c r="K46" s="7" t="str">
        <f>'Both Shifts'!K93</f>
        <v/>
      </c>
      <c r="L46" s="8" t="str">
        <f>'Both Shifts'!L93</f>
        <v/>
      </c>
      <c r="M46" s="8" t="str">
        <f>'Both Shifts'!M93</f>
        <v/>
      </c>
      <c r="N46" s="64" t="str">
        <f>'Both Shifts'!N93</f>
        <v/>
      </c>
      <c r="O46" s="64" t="str">
        <f>'Both Shifts'!O93</f>
        <v/>
      </c>
      <c r="P46" s="64" t="str">
        <f>'Both Shifts'!P93</f>
        <v/>
      </c>
      <c r="Q46" s="64" t="str">
        <f>'Both Shifts'!Q93</f>
        <v/>
      </c>
      <c r="R46" s="64" t="str">
        <f>'Both Shifts'!R93</f>
        <v/>
      </c>
      <c r="S46" s="64" t="str">
        <f>'Both Shifts'!S93</f>
        <v/>
      </c>
      <c r="T46" s="64" t="str">
        <f>'Both Shifts'!T93</f>
        <v/>
      </c>
      <c r="U46" s="64" t="str">
        <f>'Both Shifts'!U93</f>
        <v/>
      </c>
      <c r="V46" s="64" t="str">
        <f>'Both Shifts'!V93</f>
        <v/>
      </c>
      <c r="W46" s="64" t="str">
        <f>'Both Shifts'!W93</f>
        <v/>
      </c>
      <c r="X46" s="64" t="str">
        <f>'Both Shifts'!X93</f>
        <v/>
      </c>
      <c r="Y46" s="65" t="str">
        <f>'Both Shifts'!Y93</f>
        <v/>
      </c>
      <c r="Z46" s="8" t="str">
        <f>'Both Shifts'!Z93</f>
        <v/>
      </c>
      <c r="AA46" s="8" t="str">
        <f>'Both Shifts'!AA93</f>
        <v/>
      </c>
      <c r="AB46" s="23"/>
      <c r="AC46" s="8"/>
      <c r="AD46" s="8"/>
      <c r="AE46" s="8" t="str">
        <f t="shared" si="0"/>
        <v>TRUE</v>
      </c>
      <c r="AF46" s="1"/>
    </row>
    <row r="47" spans="1:32" x14ac:dyDescent="0.25">
      <c r="A47" s="1"/>
      <c r="B47" s="1"/>
      <c r="C47" s="1"/>
      <c r="D47" s="12"/>
      <c r="E47" s="12"/>
      <c r="F47" s="62">
        <f>IF(F44="","",0)</f>
        <v>0</v>
      </c>
      <c r="G47" s="13"/>
      <c r="H47" s="34" t="str">
        <f>$F$5</f>
        <v>C</v>
      </c>
      <c r="I47" s="34" t="str">
        <f>$F$5&amp;J47</f>
        <v>C        FS12</v>
      </c>
      <c r="J47" s="67" t="str">
        <f>F43</f>
        <v xml:space="preserve">        FS12</v>
      </c>
      <c r="K47" s="67"/>
      <c r="L47" s="67" t="s">
        <v>19</v>
      </c>
      <c r="M47" s="67"/>
      <c r="N47" s="42">
        <f>SUMIF($D:$D,$I47,N:N)</f>
        <v>2914</v>
      </c>
      <c r="O47" s="42">
        <f>SUMIF($D:$D,$I47,O:O)</f>
        <v>9625</v>
      </c>
      <c r="P47" s="42">
        <f>SUMIF($D:$D,$I47,P:P)</f>
        <v>630</v>
      </c>
      <c r="Q47" s="42">
        <f>SUMIF($D:$D,$I47,Q:Q)</f>
        <v>85</v>
      </c>
      <c r="R47" s="42">
        <f>SUMIF($D:$D,$I47,R:R)</f>
        <v>0</v>
      </c>
      <c r="S47" s="42">
        <f>SUMIF($D:$D,$I47,S:S)</f>
        <v>0</v>
      </c>
      <c r="T47" s="42">
        <f>SUMIF($D:$D,$I47,T:T)</f>
        <v>20</v>
      </c>
      <c r="U47" s="42"/>
      <c r="V47" s="42">
        <f>SUMIF($D:$D,$I47,V:V)</f>
        <v>0</v>
      </c>
      <c r="W47" s="42">
        <f>SUMIF($D:$D,$I47,W:W)</f>
        <v>10</v>
      </c>
      <c r="X47" s="42">
        <f>SUMIF($D:$D,$I47,X:X)</f>
        <v>525</v>
      </c>
      <c r="Y47" s="26"/>
      <c r="Z47" s="26"/>
      <c r="AA47" s="27">
        <f>N47/O47*100</f>
        <v>30.275324675324676</v>
      </c>
      <c r="AB47" s="35"/>
      <c r="AC47" s="26"/>
      <c r="AD47" s="27"/>
      <c r="AE47" s="27" t="b">
        <f t="shared" si="0"/>
        <v>0</v>
      </c>
      <c r="AF47" s="1"/>
    </row>
    <row r="48" spans="1:32" x14ac:dyDescent="0.25">
      <c r="A48" s="1"/>
      <c r="B48" s="1"/>
      <c r="C48" s="1"/>
      <c r="D48" s="14"/>
      <c r="E48" s="14" t="s">
        <v>22</v>
      </c>
      <c r="F48" s="18" t="s">
        <v>114</v>
      </c>
      <c r="G48" s="16" t="s">
        <v>118</v>
      </c>
      <c r="H48" s="54" t="str">
        <f>IF(H49="","DNR",0)</f>
        <v>DNR</v>
      </c>
      <c r="I48" s="53">
        <v>0</v>
      </c>
      <c r="J48" s="54">
        <v>0</v>
      </c>
      <c r="K48" s="54">
        <v>0</v>
      </c>
      <c r="L48" s="54">
        <v>0</v>
      </c>
      <c r="M48" s="54">
        <v>0</v>
      </c>
      <c r="N48" s="54" t="str">
        <f>IF(F49="","DNR",0)</f>
        <v>DNR</v>
      </c>
      <c r="O48" s="54">
        <v>0</v>
      </c>
      <c r="P48" s="54">
        <v>0</v>
      </c>
      <c r="Q48" s="54">
        <v>0</v>
      </c>
      <c r="R48" s="54">
        <v>0</v>
      </c>
      <c r="S48" s="54">
        <v>0</v>
      </c>
      <c r="T48" s="54">
        <v>0</v>
      </c>
      <c r="U48" s="54">
        <v>0</v>
      </c>
      <c r="V48" s="54">
        <v>0</v>
      </c>
      <c r="W48" s="54">
        <v>0</v>
      </c>
      <c r="X48" s="54">
        <v>0</v>
      </c>
      <c r="Y48" s="54">
        <v>0</v>
      </c>
      <c r="Z48" s="54">
        <v>0</v>
      </c>
      <c r="AA48" s="55">
        <v>0</v>
      </c>
      <c r="AB48" s="35"/>
      <c r="AC48" s="26"/>
      <c r="AD48" s="27"/>
      <c r="AE48" s="27"/>
      <c r="AF48" s="1"/>
    </row>
    <row r="49" spans="1:32" x14ac:dyDescent="0.25">
      <c r="A49" s="1"/>
      <c r="B49" s="1"/>
      <c r="C49" s="1"/>
      <c r="D49" s="5" t="str">
        <f>$F$5&amp;E49</f>
        <v>C        FS14</v>
      </c>
      <c r="E49" s="5" t="str">
        <f>'Both Shifts'!E96</f>
        <v xml:space="preserve">        FS14</v>
      </c>
      <c r="F49" s="5" t="str">
        <f>'Both Shifts'!F96</f>
        <v/>
      </c>
      <c r="G49" s="5" t="str">
        <f>'Both Shifts'!G96</f>
        <v/>
      </c>
      <c r="H49" s="5" t="str">
        <f>'Both Shifts'!H96</f>
        <v/>
      </c>
      <c r="I49" s="6" t="str">
        <f>'Both Shifts'!I96</f>
        <v/>
      </c>
      <c r="J49" s="7" t="str">
        <f>'Both Shifts'!J96</f>
        <v/>
      </c>
      <c r="K49" s="7" t="str">
        <f>'Both Shifts'!K96</f>
        <v/>
      </c>
      <c r="L49" s="8" t="str">
        <f>'Both Shifts'!L96</f>
        <v/>
      </c>
      <c r="M49" s="8" t="str">
        <f>'Both Shifts'!M96</f>
        <v/>
      </c>
      <c r="N49" s="64" t="str">
        <f>'Both Shifts'!N96</f>
        <v/>
      </c>
      <c r="O49" s="64" t="str">
        <f>'Both Shifts'!O96</f>
        <v/>
      </c>
      <c r="P49" s="64" t="str">
        <f>'Both Shifts'!P96</f>
        <v/>
      </c>
      <c r="Q49" s="64" t="str">
        <f>'Both Shifts'!Q96</f>
        <v/>
      </c>
      <c r="R49" s="64" t="str">
        <f>'Both Shifts'!R96</f>
        <v/>
      </c>
      <c r="S49" s="64" t="str">
        <f>'Both Shifts'!S96</f>
        <v/>
      </c>
      <c r="T49" s="64" t="str">
        <f>'Both Shifts'!T96</f>
        <v/>
      </c>
      <c r="U49" s="64" t="str">
        <f>'Both Shifts'!U96</f>
        <v/>
      </c>
      <c r="V49" s="64" t="str">
        <f>'Both Shifts'!V96</f>
        <v/>
      </c>
      <c r="W49" s="64" t="str">
        <f>'Both Shifts'!W96</f>
        <v/>
      </c>
      <c r="X49" s="64" t="str">
        <f>'Both Shifts'!X96</f>
        <v/>
      </c>
      <c r="Y49" s="65" t="str">
        <f>'Both Shifts'!Y96</f>
        <v/>
      </c>
      <c r="Z49" s="8" t="str">
        <f>'Both Shifts'!Z96</f>
        <v/>
      </c>
      <c r="AA49" s="8" t="str">
        <f>'Both Shifts'!AA96</f>
        <v/>
      </c>
      <c r="AB49" s="35"/>
      <c r="AC49" s="26"/>
      <c r="AD49" s="27"/>
      <c r="AE49" s="27"/>
      <c r="AF49" s="1"/>
    </row>
    <row r="50" spans="1:32" x14ac:dyDescent="0.25">
      <c r="A50" s="1"/>
      <c r="B50" s="1"/>
      <c r="C50" s="1"/>
      <c r="D50" s="5" t="str">
        <f>$F$5&amp;E50</f>
        <v>C        FS14</v>
      </c>
      <c r="E50" s="5" t="str">
        <f>'Both Shifts'!E97</f>
        <v xml:space="preserve">        FS14</v>
      </c>
      <c r="F50" s="5" t="str">
        <f>'Both Shifts'!F97</f>
        <v/>
      </c>
      <c r="G50" s="5" t="str">
        <f>'Both Shifts'!G97</f>
        <v/>
      </c>
      <c r="H50" s="5" t="str">
        <f>'Both Shifts'!H97</f>
        <v/>
      </c>
      <c r="I50" s="6" t="str">
        <f>'Both Shifts'!I97</f>
        <v/>
      </c>
      <c r="J50" s="7" t="str">
        <f>'Both Shifts'!J97</f>
        <v/>
      </c>
      <c r="K50" s="7" t="str">
        <f>'Both Shifts'!K97</f>
        <v/>
      </c>
      <c r="L50" s="8" t="str">
        <f>'Both Shifts'!L97</f>
        <v/>
      </c>
      <c r="M50" s="8" t="str">
        <f>'Both Shifts'!M97</f>
        <v/>
      </c>
      <c r="N50" s="64" t="str">
        <f>'Both Shifts'!N97</f>
        <v/>
      </c>
      <c r="O50" s="64" t="str">
        <f>'Both Shifts'!O97</f>
        <v/>
      </c>
      <c r="P50" s="64" t="str">
        <f>'Both Shifts'!P97</f>
        <v/>
      </c>
      <c r="Q50" s="64" t="str">
        <f>'Both Shifts'!Q97</f>
        <v/>
      </c>
      <c r="R50" s="64" t="str">
        <f>'Both Shifts'!R97</f>
        <v/>
      </c>
      <c r="S50" s="64" t="str">
        <f>'Both Shifts'!S97</f>
        <v/>
      </c>
      <c r="T50" s="64" t="str">
        <f>'Both Shifts'!T97</f>
        <v/>
      </c>
      <c r="U50" s="64" t="str">
        <f>'Both Shifts'!U97</f>
        <v/>
      </c>
      <c r="V50" s="64" t="str">
        <f>'Both Shifts'!V97</f>
        <v/>
      </c>
      <c r="W50" s="64" t="str">
        <f>'Both Shifts'!W97</f>
        <v/>
      </c>
      <c r="X50" s="64" t="str">
        <f>'Both Shifts'!X97</f>
        <v/>
      </c>
      <c r="Y50" s="65" t="str">
        <f>'Both Shifts'!Y97</f>
        <v/>
      </c>
      <c r="Z50" s="8" t="str">
        <f>'Both Shifts'!Z97</f>
        <v/>
      </c>
      <c r="AA50" s="8" t="str">
        <f>'Both Shifts'!AA97</f>
        <v/>
      </c>
      <c r="AB50" s="35"/>
      <c r="AC50" s="26"/>
      <c r="AD50" s="27"/>
      <c r="AE50" s="27"/>
      <c r="AF50" s="1"/>
    </row>
    <row r="51" spans="1:32" x14ac:dyDescent="0.25">
      <c r="A51" s="1"/>
      <c r="B51" s="1"/>
      <c r="C51" s="1"/>
      <c r="D51" s="5" t="str">
        <f t="shared" ref="D51" si="10">$F$5&amp;E51</f>
        <v>C        FS14</v>
      </c>
      <c r="E51" s="5" t="str">
        <f>'Both Shifts'!E98</f>
        <v xml:space="preserve">        FS14</v>
      </c>
      <c r="F51" s="5" t="str">
        <f>'Both Shifts'!F98</f>
        <v/>
      </c>
      <c r="G51" s="5" t="str">
        <f>'Both Shifts'!G98</f>
        <v/>
      </c>
      <c r="H51" s="5" t="str">
        <f>'Both Shifts'!H98</f>
        <v/>
      </c>
      <c r="I51" s="6" t="str">
        <f>'Both Shifts'!I98</f>
        <v/>
      </c>
      <c r="J51" s="7" t="str">
        <f>'Both Shifts'!J98</f>
        <v/>
      </c>
      <c r="K51" s="7" t="str">
        <f>'Both Shifts'!K98</f>
        <v/>
      </c>
      <c r="L51" s="8" t="str">
        <f>'Both Shifts'!L98</f>
        <v/>
      </c>
      <c r="M51" s="8" t="str">
        <f>'Both Shifts'!M98</f>
        <v/>
      </c>
      <c r="N51" s="64" t="str">
        <f>'Both Shifts'!N98</f>
        <v/>
      </c>
      <c r="O51" s="64" t="str">
        <f>'Both Shifts'!O98</f>
        <v/>
      </c>
      <c r="P51" s="64" t="str">
        <f>'Both Shifts'!P98</f>
        <v/>
      </c>
      <c r="Q51" s="64" t="str">
        <f>'Both Shifts'!Q98</f>
        <v/>
      </c>
      <c r="R51" s="64" t="str">
        <f>'Both Shifts'!R98</f>
        <v/>
      </c>
      <c r="S51" s="64" t="str">
        <f>'Both Shifts'!S98</f>
        <v/>
      </c>
      <c r="T51" s="64" t="str">
        <f>'Both Shifts'!T98</f>
        <v/>
      </c>
      <c r="U51" s="64" t="str">
        <f>'Both Shifts'!U98</f>
        <v/>
      </c>
      <c r="V51" s="64" t="str">
        <f>'Both Shifts'!V98</f>
        <v/>
      </c>
      <c r="W51" s="64" t="str">
        <f>'Both Shifts'!W98</f>
        <v/>
      </c>
      <c r="X51" s="64" t="str">
        <f>'Both Shifts'!X98</f>
        <v/>
      </c>
      <c r="Y51" s="65" t="str">
        <f>'Both Shifts'!Y98</f>
        <v/>
      </c>
      <c r="Z51" s="8" t="str">
        <f>'Both Shifts'!Z98</f>
        <v/>
      </c>
      <c r="AA51" s="8" t="str">
        <f>'Both Shifts'!AA98</f>
        <v/>
      </c>
      <c r="AB51" s="35"/>
      <c r="AC51" s="26"/>
      <c r="AD51" s="27"/>
      <c r="AE51" s="27"/>
      <c r="AF51" s="1"/>
    </row>
    <row r="52" spans="1:32" x14ac:dyDescent="0.25">
      <c r="A52" s="1"/>
      <c r="B52" s="1"/>
      <c r="C52" s="1"/>
      <c r="D52" s="12"/>
      <c r="E52" s="12"/>
      <c r="F52" s="62" t="str">
        <f>IF(F49="","",0)</f>
        <v/>
      </c>
      <c r="G52" s="13"/>
      <c r="H52" s="34" t="str">
        <f>$F$5</f>
        <v>C</v>
      </c>
      <c r="I52" s="34" t="str">
        <f>$F$5&amp;J52</f>
        <v>C        FS14</v>
      </c>
      <c r="J52" s="67" t="str">
        <f>F48</f>
        <v xml:space="preserve">        FS14</v>
      </c>
      <c r="K52" s="67"/>
      <c r="L52" s="67" t="s">
        <v>19</v>
      </c>
      <c r="M52" s="67"/>
      <c r="N52" s="42">
        <f>SUMIF($D:$D,$I52,N:N)</f>
        <v>0</v>
      </c>
      <c r="O52" s="42">
        <f>SUMIF($D:$D,$I52,O:O)</f>
        <v>0</v>
      </c>
      <c r="P52" s="42">
        <f>SUMIF($D:$D,$I52,P:P)</f>
        <v>0</v>
      </c>
      <c r="Q52" s="42">
        <f>SUMIF($D:$D,$I52,Q:Q)</f>
        <v>0</v>
      </c>
      <c r="R52" s="42">
        <f>SUMIF($D:$D,$I52,R:R)</f>
        <v>0</v>
      </c>
      <c r="S52" s="42">
        <f>SUMIF($D:$D,$I52,S:S)</f>
        <v>0</v>
      </c>
      <c r="T52" s="42">
        <f>SUMIF($D:$D,$I52,T:T)</f>
        <v>0</v>
      </c>
      <c r="U52" s="42"/>
      <c r="V52" s="42">
        <f>SUMIF($D:$D,$I52,V:V)</f>
        <v>0</v>
      </c>
      <c r="W52" s="42">
        <f>SUMIF($D:$D,$I52,W:W)</f>
        <v>0</v>
      </c>
      <c r="X52" s="42">
        <f>SUMIF($D:$D,$I52,X:X)</f>
        <v>0</v>
      </c>
      <c r="Y52" s="26"/>
      <c r="Z52" s="26"/>
      <c r="AA52" s="27" t="e">
        <f>N52/O52*100</f>
        <v>#DIV/0!</v>
      </c>
      <c r="AB52" s="35"/>
      <c r="AC52" s="26"/>
      <c r="AD52" s="27"/>
      <c r="AE52" s="27"/>
      <c r="AF52" s="1"/>
    </row>
    <row r="53" spans="1:32" x14ac:dyDescent="0.25">
      <c r="A53" s="1"/>
      <c r="B53" s="1"/>
      <c r="C53" s="1"/>
      <c r="D53" s="19"/>
      <c r="E53" s="19"/>
      <c r="F53" s="63">
        <v>0</v>
      </c>
      <c r="G53" s="20"/>
      <c r="H53" s="20"/>
      <c r="I53" s="20"/>
      <c r="J53" s="20"/>
      <c r="K53" s="20"/>
      <c r="L53" s="69" t="s">
        <v>20</v>
      </c>
      <c r="M53" s="69"/>
      <c r="N53" s="43">
        <f>SUMIF($H:$H,$F$5,N:N)</f>
        <v>13816</v>
      </c>
      <c r="O53" s="43">
        <f>SUMIF($H:$H,$F$5,O:O)</f>
        <v>29581.25</v>
      </c>
      <c r="P53" s="43">
        <f>SUMIF($H:$H,$F$5,P:P)</f>
        <v>2700</v>
      </c>
      <c r="Q53" s="43">
        <f>SUMIF($H:$H,$F$5,Q:Q)</f>
        <v>315</v>
      </c>
      <c r="R53" s="43">
        <f>SUMIF($H:$H,$F$5,R:R)</f>
        <v>0</v>
      </c>
      <c r="S53" s="43">
        <f>SUMIF($H:$H,$F$5,S:S)</f>
        <v>141</v>
      </c>
      <c r="T53" s="43">
        <f>SUMIF($H:$H,$F$5,T:T)</f>
        <v>50</v>
      </c>
      <c r="U53" s="43"/>
      <c r="V53" s="43">
        <f>SUMIF($H:$H,$F$5,V:V)</f>
        <v>20.170000000000002</v>
      </c>
      <c r="W53" s="43">
        <f>SUMIF($H:$H,$F$5,W:W)</f>
        <v>58</v>
      </c>
      <c r="X53" s="43">
        <f>SUMIF($H:$H,$F$5,X:X)</f>
        <v>2194</v>
      </c>
      <c r="Y53" s="28"/>
      <c r="Z53" s="28"/>
      <c r="AA53" s="29">
        <f>N53/O53*100</f>
        <v>46.70526093386858</v>
      </c>
      <c r="AB53" s="36"/>
      <c r="AC53" s="28"/>
      <c r="AD53" s="29"/>
      <c r="AE53" s="29" t="b">
        <f t="shared" si="0"/>
        <v>0</v>
      </c>
      <c r="AF53" s="1"/>
    </row>
    <row r="54" spans="1:3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56">
        <v>0</v>
      </c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</row>
    <row r="55" spans="1:3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56">
        <v>0</v>
      </c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60"/>
      <c r="AE55" s="58"/>
      <c r="AF55" s="1"/>
    </row>
    <row r="56" spans="1:32" ht="15.75" thickBo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56">
        <v>0</v>
      </c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61"/>
      <c r="AE56" s="58"/>
      <c r="AF56" s="1"/>
    </row>
    <row r="57" spans="1:32" ht="15.75" thickBot="1" x14ac:dyDescent="0.3">
      <c r="A57" s="1"/>
      <c r="B57" s="1"/>
      <c r="C57" s="1"/>
      <c r="D57" s="1"/>
      <c r="E57" s="72" t="s">
        <v>55</v>
      </c>
      <c r="F57" s="73"/>
      <c r="G57" s="74"/>
      <c r="H57" s="84"/>
      <c r="I57" s="85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6"/>
      <c r="AE57" s="59"/>
      <c r="AF57" s="1"/>
    </row>
    <row r="58" spans="1:32" ht="15.75" thickBot="1" x14ac:dyDescent="0.3">
      <c r="A58" s="1"/>
      <c r="B58" s="1"/>
      <c r="C58" s="1"/>
      <c r="D58" s="1"/>
      <c r="E58" s="72" t="s">
        <v>47</v>
      </c>
      <c r="F58" s="73"/>
      <c r="G58" s="74"/>
      <c r="H58" s="87"/>
      <c r="I58" s="88"/>
      <c r="J58" s="88"/>
      <c r="K58" s="88"/>
      <c r="L58" s="88"/>
      <c r="M58" s="88"/>
      <c r="N58" s="88"/>
      <c r="O58" s="88"/>
      <c r="P58" s="88"/>
      <c r="Q58" s="88"/>
      <c r="R58" s="88"/>
      <c r="S58" s="88"/>
      <c r="T58" s="88"/>
      <c r="U58" s="88"/>
      <c r="V58" s="88"/>
      <c r="W58" s="88"/>
      <c r="X58" s="88"/>
      <c r="Y58" s="88"/>
      <c r="Z58" s="88"/>
      <c r="AA58" s="88"/>
      <c r="AB58" s="88"/>
      <c r="AC58" s="88"/>
      <c r="AD58" s="89"/>
      <c r="AE58" s="59"/>
      <c r="AF58" s="1"/>
    </row>
    <row r="59" spans="1:32" x14ac:dyDescent="0.25">
      <c r="A59" s="1"/>
      <c r="B59" s="1"/>
      <c r="C59" s="1"/>
      <c r="D59" s="1"/>
      <c r="E59" s="75" t="s">
        <v>48</v>
      </c>
      <c r="F59" s="76"/>
      <c r="G59" s="77"/>
      <c r="H59" s="90"/>
      <c r="I59" s="91"/>
      <c r="J59" s="91"/>
      <c r="K59" s="91"/>
      <c r="L59" s="91"/>
      <c r="M59" s="91"/>
      <c r="N59" s="91"/>
      <c r="O59" s="91"/>
      <c r="P59" s="91"/>
      <c r="Q59" s="91"/>
      <c r="R59" s="91"/>
      <c r="S59" s="91"/>
      <c r="T59" s="91"/>
      <c r="U59" s="91"/>
      <c r="V59" s="91"/>
      <c r="W59" s="91"/>
      <c r="X59" s="91"/>
      <c r="Y59" s="91"/>
      <c r="Z59" s="91"/>
      <c r="AA59" s="91"/>
      <c r="AB59" s="91"/>
      <c r="AC59" s="91"/>
      <c r="AD59" s="92"/>
      <c r="AE59" s="59"/>
      <c r="AF59" s="1"/>
    </row>
    <row r="60" spans="1:32" x14ac:dyDescent="0.25">
      <c r="A60" s="1"/>
      <c r="B60" s="1"/>
      <c r="C60" s="1"/>
      <c r="D60" s="1"/>
      <c r="E60" s="78"/>
      <c r="F60" s="79"/>
      <c r="G60" s="80"/>
      <c r="H60" s="93"/>
      <c r="I60" s="94"/>
      <c r="J60" s="94"/>
      <c r="K60" s="94"/>
      <c r="L60" s="94"/>
      <c r="M60" s="94"/>
      <c r="N60" s="94"/>
      <c r="O60" s="94"/>
      <c r="P60" s="94"/>
      <c r="Q60" s="94"/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5"/>
      <c r="AE60" s="59"/>
      <c r="AF60" s="1"/>
    </row>
    <row r="61" spans="1:32" ht="15.75" thickBot="1" x14ac:dyDescent="0.3">
      <c r="A61" s="1"/>
      <c r="B61" s="1"/>
      <c r="C61" s="1"/>
      <c r="D61" s="1"/>
      <c r="E61" s="81"/>
      <c r="F61" s="82"/>
      <c r="G61" s="83"/>
      <c r="H61" s="96"/>
      <c r="I61" s="97"/>
      <c r="J61" s="97"/>
      <c r="K61" s="97"/>
      <c r="L61" s="97"/>
      <c r="M61" s="97"/>
      <c r="N61" s="97"/>
      <c r="O61" s="97"/>
      <c r="P61" s="97"/>
      <c r="Q61" s="97"/>
      <c r="R61" s="97"/>
      <c r="S61" s="97"/>
      <c r="T61" s="97"/>
      <c r="U61" s="97"/>
      <c r="V61" s="97"/>
      <c r="W61" s="97"/>
      <c r="X61" s="97"/>
      <c r="Y61" s="97"/>
      <c r="Z61" s="97"/>
      <c r="AA61" s="97"/>
      <c r="AB61" s="97"/>
      <c r="AC61" s="97"/>
      <c r="AD61" s="98"/>
      <c r="AE61" s="59"/>
      <c r="AF61" s="1"/>
    </row>
    <row r="62" spans="1:32" x14ac:dyDescent="0.25">
      <c r="A62" s="1"/>
      <c r="B62" s="1"/>
      <c r="C62" s="1"/>
      <c r="D62" s="1"/>
      <c r="E62" s="75" t="s">
        <v>49</v>
      </c>
      <c r="F62" s="76"/>
      <c r="G62" s="77"/>
      <c r="H62" s="90"/>
      <c r="I62" s="91"/>
      <c r="J62" s="91"/>
      <c r="K62" s="91"/>
      <c r="L62" s="91"/>
      <c r="M62" s="91"/>
      <c r="N62" s="91"/>
      <c r="O62" s="91"/>
      <c r="P62" s="91"/>
      <c r="Q62" s="91"/>
      <c r="R62" s="91"/>
      <c r="S62" s="91"/>
      <c r="T62" s="91"/>
      <c r="U62" s="91"/>
      <c r="V62" s="91"/>
      <c r="W62" s="91"/>
      <c r="X62" s="91"/>
      <c r="Y62" s="91"/>
      <c r="Z62" s="91"/>
      <c r="AA62" s="91"/>
      <c r="AB62" s="91"/>
      <c r="AC62" s="91"/>
      <c r="AD62" s="92"/>
      <c r="AE62" s="59"/>
      <c r="AF62" s="1"/>
    </row>
    <row r="63" spans="1:32" x14ac:dyDescent="0.25">
      <c r="A63" s="1"/>
      <c r="B63" s="1"/>
      <c r="C63" s="1"/>
      <c r="D63" s="1"/>
      <c r="E63" s="78"/>
      <c r="F63" s="79"/>
      <c r="G63" s="80"/>
      <c r="H63" s="93"/>
      <c r="I63" s="94"/>
      <c r="J63" s="94"/>
      <c r="K63" s="94"/>
      <c r="L63" s="94"/>
      <c r="M63" s="94"/>
      <c r="N63" s="94"/>
      <c r="O63" s="94"/>
      <c r="P63" s="94"/>
      <c r="Q63" s="94"/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5"/>
      <c r="AE63" s="59"/>
      <c r="AF63" s="1"/>
    </row>
    <row r="64" spans="1:32" x14ac:dyDescent="0.25">
      <c r="A64" s="1"/>
      <c r="B64" s="1"/>
      <c r="C64" s="1"/>
      <c r="D64" s="1"/>
      <c r="E64" s="78"/>
      <c r="F64" s="79"/>
      <c r="G64" s="80"/>
      <c r="H64" s="93"/>
      <c r="I64" s="94"/>
      <c r="J64" s="94"/>
      <c r="K64" s="94"/>
      <c r="L64" s="94"/>
      <c r="M64" s="94"/>
      <c r="N64" s="94"/>
      <c r="O64" s="94"/>
      <c r="P64" s="94"/>
      <c r="Q64" s="94"/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5"/>
      <c r="AE64" s="59"/>
      <c r="AF64" s="1"/>
    </row>
    <row r="65" spans="1:32" x14ac:dyDescent="0.25">
      <c r="A65" s="1"/>
      <c r="B65" s="1"/>
      <c r="C65" s="1"/>
      <c r="D65" s="1"/>
      <c r="E65" s="78"/>
      <c r="F65" s="79"/>
      <c r="G65" s="80"/>
      <c r="H65" s="93"/>
      <c r="I65" s="94"/>
      <c r="J65" s="94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5"/>
      <c r="AE65" s="59"/>
      <c r="AF65" s="1"/>
    </row>
    <row r="66" spans="1:32" ht="15.75" thickBot="1" x14ac:dyDescent="0.3">
      <c r="A66" s="1"/>
      <c r="B66" s="1"/>
      <c r="C66" s="1"/>
      <c r="D66" s="1"/>
      <c r="E66" s="81"/>
      <c r="F66" s="82"/>
      <c r="G66" s="83"/>
      <c r="H66" s="99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100"/>
      <c r="AC66" s="100"/>
      <c r="AD66" s="101"/>
      <c r="AE66" s="59"/>
      <c r="AF66" s="1"/>
    </row>
    <row r="67" spans="1:32" x14ac:dyDescent="0.25">
      <c r="A67" s="1"/>
      <c r="B67" s="1"/>
      <c r="C67" s="1"/>
      <c r="D67" s="1"/>
      <c r="E67" s="75" t="s">
        <v>56</v>
      </c>
      <c r="F67" s="76"/>
      <c r="G67" s="77"/>
      <c r="H67" s="90"/>
      <c r="I67" s="91"/>
      <c r="J67" s="91"/>
      <c r="K67" s="91"/>
      <c r="L67" s="91"/>
      <c r="M67" s="91"/>
      <c r="N67" s="91"/>
      <c r="O67" s="91"/>
      <c r="P67" s="91"/>
      <c r="Q67" s="91"/>
      <c r="R67" s="91"/>
      <c r="S67" s="91"/>
      <c r="T67" s="91"/>
      <c r="U67" s="91"/>
      <c r="V67" s="91"/>
      <c r="W67" s="91"/>
      <c r="X67" s="91"/>
      <c r="Y67" s="91"/>
      <c r="Z67" s="91"/>
      <c r="AA67" s="91"/>
      <c r="AB67" s="91"/>
      <c r="AC67" s="91"/>
      <c r="AD67" s="92"/>
      <c r="AE67" s="59"/>
      <c r="AF67" s="1"/>
    </row>
    <row r="68" spans="1:32" x14ac:dyDescent="0.25">
      <c r="A68" s="1"/>
      <c r="B68" s="1"/>
      <c r="C68" s="1"/>
      <c r="D68" s="1"/>
      <c r="E68" s="78"/>
      <c r="F68" s="79"/>
      <c r="G68" s="80"/>
      <c r="H68" s="93"/>
      <c r="I68" s="94"/>
      <c r="J68" s="94"/>
      <c r="K68" s="94"/>
      <c r="L68" s="94"/>
      <c r="M68" s="94"/>
      <c r="N68" s="94"/>
      <c r="O68" s="94"/>
      <c r="P68" s="94"/>
      <c r="Q68" s="94"/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5"/>
      <c r="AE68" s="59"/>
      <c r="AF68" s="1"/>
    </row>
    <row r="69" spans="1:32" ht="15.75" thickBot="1" x14ac:dyDescent="0.3">
      <c r="A69" s="1"/>
      <c r="B69" s="1"/>
      <c r="C69" s="1"/>
      <c r="E69" s="78"/>
      <c r="F69" s="79"/>
      <c r="G69" s="80"/>
      <c r="H69" s="96"/>
      <c r="I69" s="97"/>
      <c r="J69" s="97"/>
      <c r="K69" s="97"/>
      <c r="L69" s="97"/>
      <c r="M69" s="97"/>
      <c r="N69" s="97"/>
      <c r="O69" s="97"/>
      <c r="P69" s="97"/>
      <c r="Q69" s="97"/>
      <c r="R69" s="97"/>
      <c r="S69" s="97"/>
      <c r="T69" s="97"/>
      <c r="U69" s="97"/>
      <c r="V69" s="97"/>
      <c r="W69" s="97"/>
      <c r="X69" s="97"/>
      <c r="Y69" s="97"/>
      <c r="Z69" s="97"/>
      <c r="AA69" s="97"/>
      <c r="AB69" s="97"/>
      <c r="AC69" s="97"/>
      <c r="AD69" s="98"/>
      <c r="AE69" s="59"/>
      <c r="AF69" s="1"/>
    </row>
    <row r="70" spans="1:32" ht="15.75" thickBot="1" x14ac:dyDescent="0.3">
      <c r="A70" s="1"/>
      <c r="B70" s="1"/>
      <c r="C70" s="1"/>
      <c r="E70" s="72" t="s">
        <v>57</v>
      </c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4"/>
      <c r="AE70" s="59"/>
      <c r="AF70" s="1"/>
    </row>
    <row r="71" spans="1:32" x14ac:dyDescent="0.25">
      <c r="A71" s="1"/>
      <c r="B71" s="1"/>
      <c r="C71" s="1"/>
      <c r="E71" s="87"/>
      <c r="F71" s="88"/>
      <c r="G71" s="88"/>
      <c r="H71" s="88"/>
      <c r="I71" s="88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9"/>
      <c r="AE71" s="59"/>
      <c r="AF71" s="1"/>
    </row>
    <row r="72" spans="1:32" x14ac:dyDescent="0.25">
      <c r="A72" s="1"/>
      <c r="B72" s="1"/>
      <c r="C72" s="1"/>
      <c r="E72" s="102"/>
      <c r="F72" s="103"/>
      <c r="G72" s="103"/>
      <c r="H72" s="103"/>
      <c r="I72" s="103"/>
      <c r="J72" s="103"/>
      <c r="K72" s="103"/>
      <c r="L72" s="103"/>
      <c r="M72" s="103"/>
      <c r="N72" s="103"/>
      <c r="O72" s="103"/>
      <c r="P72" s="103"/>
      <c r="Q72" s="103"/>
      <c r="R72" s="103"/>
      <c r="S72" s="103"/>
      <c r="T72" s="103"/>
      <c r="U72" s="103"/>
      <c r="V72" s="103"/>
      <c r="W72" s="103"/>
      <c r="X72" s="103"/>
      <c r="Y72" s="103"/>
      <c r="Z72" s="103"/>
      <c r="AA72" s="103"/>
      <c r="AB72" s="103"/>
      <c r="AC72" s="103"/>
      <c r="AD72" s="104"/>
      <c r="AE72" s="59"/>
      <c r="AF72" s="1"/>
    </row>
    <row r="73" spans="1:32" x14ac:dyDescent="0.25">
      <c r="A73" s="1"/>
      <c r="B73" s="1"/>
      <c r="C73" s="1"/>
      <c r="E73" s="102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4"/>
      <c r="AE73" s="59"/>
      <c r="AF73" s="1"/>
    </row>
    <row r="74" spans="1:32" ht="15.75" thickBot="1" x14ac:dyDescent="0.3">
      <c r="A74" s="1"/>
      <c r="B74" s="1"/>
      <c r="C74" s="1"/>
      <c r="E74" s="99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/>
      <c r="Q74" s="100"/>
      <c r="R74" s="100"/>
      <c r="S74" s="100"/>
      <c r="T74" s="100"/>
      <c r="U74" s="100"/>
      <c r="V74" s="100"/>
      <c r="W74" s="100"/>
      <c r="X74" s="100"/>
      <c r="Y74" s="100"/>
      <c r="Z74" s="100"/>
      <c r="AA74" s="100"/>
      <c r="AB74" s="100"/>
      <c r="AC74" s="100"/>
      <c r="AD74" s="101"/>
      <c r="AE74" s="59"/>
      <c r="AF74" s="1"/>
    </row>
    <row r="75" spans="1:32" ht="15.75" thickBot="1" x14ac:dyDescent="0.3">
      <c r="A75" s="1"/>
      <c r="B75" s="1"/>
      <c r="C75" s="1"/>
      <c r="E75" s="105" t="s">
        <v>69</v>
      </c>
      <c r="F75" s="106"/>
      <c r="G75" s="105" t="s">
        <v>59</v>
      </c>
      <c r="H75" s="106"/>
      <c r="I75" s="106"/>
      <c r="J75" s="106"/>
      <c r="K75" s="106"/>
      <c r="L75" s="107"/>
      <c r="M75" s="105" t="s">
        <v>60</v>
      </c>
      <c r="N75" s="106"/>
      <c r="O75" s="106"/>
      <c r="P75" s="106"/>
      <c r="Q75" s="106"/>
      <c r="R75" s="106"/>
      <c r="S75" s="106"/>
      <c r="T75" s="106"/>
      <c r="U75" s="106"/>
      <c r="V75" s="107"/>
      <c r="W75" s="105" t="s">
        <v>61</v>
      </c>
      <c r="X75" s="106"/>
      <c r="Y75" s="106"/>
      <c r="Z75" s="106"/>
      <c r="AA75" s="106"/>
      <c r="AB75" s="106"/>
      <c r="AC75" s="106"/>
      <c r="AD75" s="107"/>
      <c r="AE75" s="59"/>
      <c r="AF75" s="1"/>
    </row>
    <row r="76" spans="1:32" ht="15.75" thickBot="1" x14ac:dyDescent="0.3">
      <c r="A76" s="1"/>
      <c r="B76" s="1"/>
      <c r="C76" s="1"/>
      <c r="E76" s="72" t="s">
        <v>58</v>
      </c>
      <c r="F76" s="73"/>
      <c r="G76" s="108"/>
      <c r="H76" s="109"/>
      <c r="I76" s="109"/>
      <c r="J76" s="109"/>
      <c r="K76" s="109"/>
      <c r="L76" s="110"/>
      <c r="M76" s="84"/>
      <c r="N76" s="85"/>
      <c r="O76" s="85"/>
      <c r="P76" s="85"/>
      <c r="Q76" s="85"/>
      <c r="R76" s="85"/>
      <c r="S76" s="85"/>
      <c r="T76" s="85"/>
      <c r="U76" s="85"/>
      <c r="V76" s="86"/>
      <c r="W76" s="84"/>
      <c r="X76" s="85"/>
      <c r="Y76" s="85"/>
      <c r="Z76" s="85"/>
      <c r="AA76" s="85"/>
      <c r="AB76" s="85"/>
      <c r="AC76" s="85"/>
      <c r="AD76" s="86"/>
      <c r="AE76" s="59"/>
      <c r="AF76" s="1"/>
    </row>
    <row r="77" spans="1:32" ht="15.75" thickBot="1" x14ac:dyDescent="0.3">
      <c r="A77" s="1"/>
      <c r="B77" s="1"/>
      <c r="C77" s="1"/>
      <c r="E77" s="72" t="s">
        <v>62</v>
      </c>
      <c r="F77" s="73"/>
      <c r="G77" s="108"/>
      <c r="H77" s="109"/>
      <c r="I77" s="109"/>
      <c r="J77" s="109"/>
      <c r="K77" s="109"/>
      <c r="L77" s="110"/>
      <c r="M77" s="84"/>
      <c r="N77" s="85"/>
      <c r="O77" s="85"/>
      <c r="P77" s="85"/>
      <c r="Q77" s="85"/>
      <c r="R77" s="85"/>
      <c r="S77" s="85"/>
      <c r="T77" s="85"/>
      <c r="U77" s="85"/>
      <c r="V77" s="86"/>
      <c r="W77" s="84"/>
      <c r="X77" s="85"/>
      <c r="Y77" s="85"/>
      <c r="Z77" s="85"/>
      <c r="AA77" s="85"/>
      <c r="AB77" s="85"/>
      <c r="AC77" s="85"/>
      <c r="AD77" s="86"/>
      <c r="AE77" s="59"/>
      <c r="AF77" s="1"/>
    </row>
    <row r="78" spans="1:32" ht="15.75" thickBot="1" x14ac:dyDescent="0.3">
      <c r="A78" s="1"/>
      <c r="B78" s="1"/>
      <c r="C78" s="1"/>
      <c r="E78" s="72" t="s">
        <v>63</v>
      </c>
      <c r="F78" s="73"/>
      <c r="G78" s="108"/>
      <c r="H78" s="109"/>
      <c r="I78" s="109"/>
      <c r="J78" s="109"/>
      <c r="K78" s="109"/>
      <c r="L78" s="110"/>
      <c r="M78" s="84"/>
      <c r="N78" s="85"/>
      <c r="O78" s="85"/>
      <c r="P78" s="85"/>
      <c r="Q78" s="85"/>
      <c r="R78" s="85"/>
      <c r="S78" s="85"/>
      <c r="T78" s="85"/>
      <c r="U78" s="85"/>
      <c r="V78" s="86"/>
      <c r="W78" s="84"/>
      <c r="X78" s="85"/>
      <c r="Y78" s="85"/>
      <c r="Z78" s="85"/>
      <c r="AA78" s="85"/>
      <c r="AB78" s="85"/>
      <c r="AC78" s="85"/>
      <c r="AD78" s="86"/>
      <c r="AE78" s="59"/>
      <c r="AF78" s="1"/>
    </row>
    <row r="79" spans="1:32" ht="15.75" thickBot="1" x14ac:dyDescent="0.3">
      <c r="A79" s="1"/>
      <c r="B79" s="1"/>
      <c r="C79" s="1"/>
      <c r="E79" s="72" t="s">
        <v>64</v>
      </c>
      <c r="F79" s="73"/>
      <c r="G79" s="108"/>
      <c r="H79" s="109"/>
      <c r="I79" s="109"/>
      <c r="J79" s="109"/>
      <c r="K79" s="109"/>
      <c r="L79" s="110"/>
      <c r="M79" s="84"/>
      <c r="N79" s="85"/>
      <c r="O79" s="85"/>
      <c r="P79" s="85"/>
      <c r="Q79" s="85"/>
      <c r="R79" s="85"/>
      <c r="S79" s="85"/>
      <c r="T79" s="85"/>
      <c r="U79" s="85"/>
      <c r="V79" s="86"/>
      <c r="W79" s="84"/>
      <c r="X79" s="85"/>
      <c r="Y79" s="85"/>
      <c r="Z79" s="85"/>
      <c r="AA79" s="85"/>
      <c r="AB79" s="85"/>
      <c r="AC79" s="85"/>
      <c r="AD79" s="86"/>
      <c r="AE79" s="59"/>
      <c r="AF79" s="1"/>
    </row>
    <row r="80" spans="1:32" ht="15.75" thickBot="1" x14ac:dyDescent="0.3">
      <c r="A80" s="1"/>
      <c r="B80" s="1"/>
      <c r="C80" s="1"/>
      <c r="E80" s="72" t="s">
        <v>65</v>
      </c>
      <c r="F80" s="73"/>
      <c r="G80" s="108"/>
      <c r="H80" s="109"/>
      <c r="I80" s="109"/>
      <c r="J80" s="109"/>
      <c r="K80" s="109"/>
      <c r="L80" s="110"/>
      <c r="M80" s="84"/>
      <c r="N80" s="85"/>
      <c r="O80" s="85"/>
      <c r="P80" s="85"/>
      <c r="Q80" s="85"/>
      <c r="R80" s="85"/>
      <c r="S80" s="85"/>
      <c r="T80" s="85"/>
      <c r="U80" s="85"/>
      <c r="V80" s="86"/>
      <c r="W80" s="84"/>
      <c r="X80" s="85"/>
      <c r="Y80" s="85"/>
      <c r="Z80" s="85"/>
      <c r="AA80" s="85"/>
      <c r="AB80" s="85"/>
      <c r="AC80" s="85"/>
      <c r="AD80" s="86"/>
      <c r="AE80" s="59"/>
      <c r="AF80" s="1"/>
    </row>
    <row r="81" spans="1:32" ht="15.75" thickBot="1" x14ac:dyDescent="0.3">
      <c r="A81" s="1"/>
      <c r="B81" s="1"/>
      <c r="C81" s="1"/>
      <c r="E81" s="72" t="s">
        <v>66</v>
      </c>
      <c r="F81" s="73"/>
      <c r="G81" s="108"/>
      <c r="H81" s="109"/>
      <c r="I81" s="109"/>
      <c r="J81" s="109"/>
      <c r="K81" s="109"/>
      <c r="L81" s="110"/>
      <c r="M81" s="84"/>
      <c r="N81" s="85"/>
      <c r="O81" s="85"/>
      <c r="P81" s="85"/>
      <c r="Q81" s="85"/>
      <c r="R81" s="85"/>
      <c r="S81" s="85"/>
      <c r="T81" s="85"/>
      <c r="U81" s="85"/>
      <c r="V81" s="86"/>
      <c r="W81" s="84"/>
      <c r="X81" s="85"/>
      <c r="Y81" s="85"/>
      <c r="Z81" s="85"/>
      <c r="AA81" s="85"/>
      <c r="AB81" s="85"/>
      <c r="AC81" s="85"/>
      <c r="AD81" s="86"/>
      <c r="AE81" s="59"/>
      <c r="AF81" s="1"/>
    </row>
    <row r="82" spans="1:32" ht="15.75" thickBot="1" x14ac:dyDescent="0.3">
      <c r="A82" s="1"/>
      <c r="B82" s="1"/>
      <c r="C82" s="1"/>
      <c r="E82" s="72" t="s">
        <v>67</v>
      </c>
      <c r="F82" s="73"/>
      <c r="G82" s="108"/>
      <c r="H82" s="109"/>
      <c r="I82" s="109"/>
      <c r="J82" s="109"/>
      <c r="K82" s="109"/>
      <c r="L82" s="110"/>
      <c r="M82" s="84"/>
      <c r="N82" s="85"/>
      <c r="O82" s="85"/>
      <c r="P82" s="85"/>
      <c r="Q82" s="85"/>
      <c r="R82" s="85"/>
      <c r="S82" s="85"/>
      <c r="T82" s="85"/>
      <c r="U82" s="85"/>
      <c r="V82" s="86"/>
      <c r="W82" s="84"/>
      <c r="X82" s="85"/>
      <c r="Y82" s="85"/>
      <c r="Z82" s="85"/>
      <c r="AA82" s="85"/>
      <c r="AB82" s="85"/>
      <c r="AC82" s="85"/>
      <c r="AD82" s="86"/>
      <c r="AE82" s="59"/>
      <c r="AF82" s="1"/>
    </row>
    <row r="83" spans="1:32" ht="15.75" thickBot="1" x14ac:dyDescent="0.3">
      <c r="A83" s="1"/>
      <c r="B83" s="1"/>
      <c r="C83" s="1"/>
      <c r="E83" s="72" t="s">
        <v>68</v>
      </c>
      <c r="F83" s="73"/>
      <c r="G83" s="108"/>
      <c r="H83" s="109"/>
      <c r="I83" s="109"/>
      <c r="J83" s="109"/>
      <c r="K83" s="109"/>
      <c r="L83" s="110"/>
      <c r="M83" s="84"/>
      <c r="N83" s="85"/>
      <c r="O83" s="85"/>
      <c r="P83" s="85"/>
      <c r="Q83" s="85"/>
      <c r="R83" s="85"/>
      <c r="S83" s="85"/>
      <c r="T83" s="85"/>
      <c r="U83" s="85"/>
      <c r="V83" s="86"/>
      <c r="W83" s="84"/>
      <c r="X83" s="85"/>
      <c r="Y83" s="85"/>
      <c r="Z83" s="85"/>
      <c r="AA83" s="85"/>
      <c r="AB83" s="85"/>
      <c r="AC83" s="85"/>
      <c r="AD83" s="86"/>
      <c r="AE83" s="59"/>
      <c r="AF83" s="1"/>
    </row>
    <row r="84" spans="1:32" ht="15.75" thickBot="1" x14ac:dyDescent="0.3">
      <c r="A84" s="1"/>
      <c r="B84" s="1"/>
      <c r="C84" s="1"/>
      <c r="E84" s="111" t="s">
        <v>50</v>
      </c>
      <c r="F84" s="112"/>
      <c r="G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112"/>
      <c r="U84" s="112"/>
      <c r="V84" s="112"/>
      <c r="W84" s="112"/>
      <c r="X84" s="112"/>
      <c r="Y84" s="112"/>
      <c r="Z84" s="112"/>
      <c r="AA84" s="112"/>
      <c r="AB84" s="112"/>
      <c r="AC84" s="112"/>
      <c r="AD84" s="113"/>
      <c r="AE84" s="59"/>
      <c r="AF84" s="1"/>
    </row>
    <row r="85" spans="1:32" x14ac:dyDescent="0.25">
      <c r="A85" s="1"/>
      <c r="B85" s="1"/>
      <c r="C85" s="1"/>
      <c r="E85" s="114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  <c r="AA85" s="115"/>
      <c r="AB85" s="115"/>
      <c r="AC85" s="115"/>
      <c r="AD85" s="116"/>
      <c r="AE85" s="59"/>
      <c r="AF85" s="1"/>
    </row>
    <row r="86" spans="1:32" x14ac:dyDescent="0.25">
      <c r="A86" s="1"/>
      <c r="B86" s="1"/>
      <c r="C86" s="1"/>
      <c r="E86" s="117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118"/>
      <c r="T86" s="118"/>
      <c r="U86" s="118"/>
      <c r="V86" s="118"/>
      <c r="W86" s="118"/>
      <c r="X86" s="118"/>
      <c r="Y86" s="118"/>
      <c r="Z86" s="118"/>
      <c r="AA86" s="118"/>
      <c r="AB86" s="118"/>
      <c r="AC86" s="118"/>
      <c r="AD86" s="119"/>
      <c r="AE86" s="59"/>
      <c r="AF86" s="1"/>
    </row>
    <row r="87" spans="1:32" x14ac:dyDescent="0.25">
      <c r="A87" s="1"/>
      <c r="B87" s="1"/>
      <c r="C87" s="1"/>
      <c r="E87" s="117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118"/>
      <c r="T87" s="118"/>
      <c r="U87" s="118"/>
      <c r="V87" s="118"/>
      <c r="W87" s="118"/>
      <c r="X87" s="118"/>
      <c r="Y87" s="118"/>
      <c r="Z87" s="118"/>
      <c r="AA87" s="118"/>
      <c r="AB87" s="118"/>
      <c r="AC87" s="118"/>
      <c r="AD87" s="119"/>
      <c r="AE87" s="60"/>
      <c r="AF87" s="1"/>
    </row>
    <row r="88" spans="1:32" ht="15.75" thickBot="1" x14ac:dyDescent="0.3">
      <c r="A88" s="1"/>
      <c r="B88" s="1"/>
      <c r="C88" s="1"/>
      <c r="E88" s="120"/>
      <c r="F88" s="121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  <c r="AA88" s="121"/>
      <c r="AB88" s="121"/>
      <c r="AC88" s="121"/>
      <c r="AD88" s="122"/>
      <c r="AE88" s="1"/>
      <c r="AF88" s="1"/>
    </row>
    <row r="89" spans="1:32" x14ac:dyDescent="0.25">
      <c r="A89" s="1"/>
      <c r="B89" s="1"/>
      <c r="C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</row>
    <row r="90" spans="1:32" x14ac:dyDescent="0.25">
      <c r="A90" s="1"/>
      <c r="B90" s="1"/>
      <c r="C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</row>
    <row r="91" spans="1:32" x14ac:dyDescent="0.25">
      <c r="A91" s="1"/>
      <c r="B91" s="1"/>
      <c r="C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</row>
    <row r="92" spans="1:32" x14ac:dyDescent="0.25">
      <c r="A92" s="1"/>
      <c r="B92" s="1"/>
      <c r="C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F92" s="1"/>
    </row>
    <row r="93" spans="1:32" x14ac:dyDescent="0.25">
      <c r="A93" s="1"/>
      <c r="B93" s="1"/>
      <c r="C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F93" s="1"/>
    </row>
    <row r="94" spans="1:32" x14ac:dyDescent="0.25">
      <c r="A94" s="1"/>
      <c r="B94" s="1"/>
      <c r="C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F94" s="1"/>
    </row>
  </sheetData>
  <mergeCells count="82">
    <mergeCell ref="E84:AD84"/>
    <mergeCell ref="E85:AD85"/>
    <mergeCell ref="E86:AD86"/>
    <mergeCell ref="E87:AD87"/>
    <mergeCell ref="E88:AD88"/>
    <mergeCell ref="E82:F82"/>
    <mergeCell ref="G82:L82"/>
    <mergeCell ref="M82:V82"/>
    <mergeCell ref="W82:AD82"/>
    <mergeCell ref="E83:F83"/>
    <mergeCell ref="G83:L83"/>
    <mergeCell ref="M83:V83"/>
    <mergeCell ref="W83:AD83"/>
    <mergeCell ref="E80:F80"/>
    <mergeCell ref="G80:L80"/>
    <mergeCell ref="M80:V80"/>
    <mergeCell ref="W80:AD80"/>
    <mergeCell ref="E81:F81"/>
    <mergeCell ref="G81:L81"/>
    <mergeCell ref="M81:V81"/>
    <mergeCell ref="W81:AD81"/>
    <mergeCell ref="E78:F78"/>
    <mergeCell ref="G78:L78"/>
    <mergeCell ref="M78:V78"/>
    <mergeCell ref="W78:AD78"/>
    <mergeCell ref="E79:F79"/>
    <mergeCell ref="G79:L79"/>
    <mergeCell ref="M79:V79"/>
    <mergeCell ref="W79:AD79"/>
    <mergeCell ref="E76:F76"/>
    <mergeCell ref="G76:L76"/>
    <mergeCell ref="M76:V76"/>
    <mergeCell ref="W76:AD76"/>
    <mergeCell ref="E77:F77"/>
    <mergeCell ref="G77:L77"/>
    <mergeCell ref="M77:V77"/>
    <mergeCell ref="W77:AD77"/>
    <mergeCell ref="E71:AD74"/>
    <mergeCell ref="E75:F75"/>
    <mergeCell ref="G75:L75"/>
    <mergeCell ref="M75:V75"/>
    <mergeCell ref="W75:AD75"/>
    <mergeCell ref="E67:G69"/>
    <mergeCell ref="H67:AD67"/>
    <mergeCell ref="H68:AD68"/>
    <mergeCell ref="H69:AD69"/>
    <mergeCell ref="E70:AD70"/>
    <mergeCell ref="E62:G66"/>
    <mergeCell ref="H62:AD62"/>
    <mergeCell ref="H63:AD63"/>
    <mergeCell ref="H64:AD64"/>
    <mergeCell ref="H65:AD65"/>
    <mergeCell ref="H66:AD66"/>
    <mergeCell ref="E57:G57"/>
    <mergeCell ref="H57:AD57"/>
    <mergeCell ref="E58:G58"/>
    <mergeCell ref="H58:AD58"/>
    <mergeCell ref="E59:G61"/>
    <mergeCell ref="H59:AD59"/>
    <mergeCell ref="H60:AD60"/>
    <mergeCell ref="H61:AD61"/>
    <mergeCell ref="J10:K10"/>
    <mergeCell ref="L10:M10"/>
    <mergeCell ref="J15:K15"/>
    <mergeCell ref="L15:M15"/>
    <mergeCell ref="E1:AD2"/>
    <mergeCell ref="E3:AD3"/>
    <mergeCell ref="J20:K20"/>
    <mergeCell ref="L20:M20"/>
    <mergeCell ref="J25:K25"/>
    <mergeCell ref="L25:M25"/>
    <mergeCell ref="L53:M53"/>
    <mergeCell ref="J30:K30"/>
    <mergeCell ref="L30:M30"/>
    <mergeCell ref="J42:K42"/>
    <mergeCell ref="L42:M42"/>
    <mergeCell ref="J47:K47"/>
    <mergeCell ref="L47:M47"/>
    <mergeCell ref="J35:K35"/>
    <mergeCell ref="L35:M35"/>
    <mergeCell ref="J52:K52"/>
    <mergeCell ref="L52:M52"/>
  </mergeCells>
  <conditionalFormatting sqref="H5 H10 H15 H20 H25 H30 H35 H42 H47 H53">
    <cfRule type="cellIs" dxfId="31" priority="32" operator="equal">
      <formula>"DNR"</formula>
    </cfRule>
  </conditionalFormatting>
  <conditionalFormatting sqref="H6">
    <cfRule type="cellIs" dxfId="30" priority="31" operator="equal">
      <formula>"DNR"</formula>
    </cfRule>
  </conditionalFormatting>
  <conditionalFormatting sqref="H11">
    <cfRule type="cellIs" dxfId="29" priority="30" operator="equal">
      <formula>"DNR"</formula>
    </cfRule>
  </conditionalFormatting>
  <conditionalFormatting sqref="H16">
    <cfRule type="cellIs" dxfId="28" priority="29" operator="equal">
      <formula>"DNR"</formula>
    </cfRule>
  </conditionalFormatting>
  <conditionalFormatting sqref="H21">
    <cfRule type="cellIs" dxfId="27" priority="28" operator="equal">
      <formula>"DNR"</formula>
    </cfRule>
  </conditionalFormatting>
  <conditionalFormatting sqref="H26">
    <cfRule type="cellIs" dxfId="26" priority="27" operator="equal">
      <formula>"DNR"</formula>
    </cfRule>
  </conditionalFormatting>
  <conditionalFormatting sqref="H31">
    <cfRule type="cellIs" dxfId="25" priority="26" operator="equal">
      <formula>"DNR"</formula>
    </cfRule>
  </conditionalFormatting>
  <conditionalFormatting sqref="H36">
    <cfRule type="cellIs" dxfId="24" priority="25" operator="equal">
      <formula>"DNR"</formula>
    </cfRule>
  </conditionalFormatting>
  <conditionalFormatting sqref="H43">
    <cfRule type="cellIs" dxfId="23" priority="24" operator="equal">
      <formula>"DNR"</formula>
    </cfRule>
  </conditionalFormatting>
  <conditionalFormatting sqref="H7">
    <cfRule type="cellIs" dxfId="22" priority="23" operator="equal">
      <formula>"DNR"</formula>
    </cfRule>
  </conditionalFormatting>
  <conditionalFormatting sqref="H8:H9">
    <cfRule type="cellIs" dxfId="21" priority="22" operator="equal">
      <formula>"DNR"</formula>
    </cfRule>
  </conditionalFormatting>
  <conditionalFormatting sqref="H12">
    <cfRule type="cellIs" dxfId="20" priority="21" operator="equal">
      <formula>"DNR"</formula>
    </cfRule>
  </conditionalFormatting>
  <conditionalFormatting sqref="H13:H14">
    <cfRule type="cellIs" dxfId="19" priority="20" operator="equal">
      <formula>"DNR"</formula>
    </cfRule>
  </conditionalFormatting>
  <conditionalFormatting sqref="H17">
    <cfRule type="cellIs" dxfId="18" priority="19" operator="equal">
      <formula>"DNR"</formula>
    </cfRule>
  </conditionalFormatting>
  <conditionalFormatting sqref="H18:H19">
    <cfRule type="cellIs" dxfId="17" priority="18" operator="equal">
      <formula>"DNR"</formula>
    </cfRule>
  </conditionalFormatting>
  <conditionalFormatting sqref="H22">
    <cfRule type="cellIs" dxfId="16" priority="17" operator="equal">
      <formula>"DNR"</formula>
    </cfRule>
  </conditionalFormatting>
  <conditionalFormatting sqref="H23:H24">
    <cfRule type="cellIs" dxfId="15" priority="16" operator="equal">
      <formula>"DNR"</formula>
    </cfRule>
  </conditionalFormatting>
  <conditionalFormatting sqref="H27">
    <cfRule type="cellIs" dxfId="14" priority="15" operator="equal">
      <formula>"DNR"</formula>
    </cfRule>
  </conditionalFormatting>
  <conditionalFormatting sqref="H28:H29">
    <cfRule type="cellIs" dxfId="13" priority="14" operator="equal">
      <formula>"DNR"</formula>
    </cfRule>
  </conditionalFormatting>
  <conditionalFormatting sqref="H32">
    <cfRule type="cellIs" dxfId="12" priority="13" operator="equal">
      <formula>"DNR"</formula>
    </cfRule>
  </conditionalFormatting>
  <conditionalFormatting sqref="H33:H34">
    <cfRule type="cellIs" dxfId="11" priority="12" operator="equal">
      <formula>"DNR"</formula>
    </cfRule>
  </conditionalFormatting>
  <conditionalFormatting sqref="H37 H40">
    <cfRule type="cellIs" dxfId="10" priority="11" operator="equal">
      <formula>"DNR"</formula>
    </cfRule>
  </conditionalFormatting>
  <conditionalFormatting sqref="H38:H39 H41">
    <cfRule type="cellIs" dxfId="9" priority="10" operator="equal">
      <formula>"DNR"</formula>
    </cfRule>
  </conditionalFormatting>
  <conditionalFormatting sqref="H44">
    <cfRule type="cellIs" dxfId="8" priority="9" operator="equal">
      <formula>"DNR"</formula>
    </cfRule>
  </conditionalFormatting>
  <conditionalFormatting sqref="H45:H46">
    <cfRule type="cellIs" dxfId="7" priority="8" operator="equal">
      <formula>"DNR"</formula>
    </cfRule>
  </conditionalFormatting>
  <conditionalFormatting sqref="H52">
    <cfRule type="cellIs" dxfId="3" priority="4" operator="equal">
      <formula>"DNR"</formula>
    </cfRule>
  </conditionalFormatting>
  <conditionalFormatting sqref="H48">
    <cfRule type="cellIs" dxfId="2" priority="3" operator="equal">
      <formula>"DNR"</formula>
    </cfRule>
  </conditionalFormatting>
  <conditionalFormatting sqref="H49">
    <cfRule type="cellIs" dxfId="1" priority="2" operator="equal">
      <formula>"DNR"</formula>
    </cfRule>
  </conditionalFormatting>
  <conditionalFormatting sqref="H50:H51">
    <cfRule type="cellIs" dxfId="0" priority="1" operator="equal">
      <formula>"DNR"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Original</vt:lpstr>
      <vt:lpstr>Both Shifts</vt:lpstr>
      <vt:lpstr>B Shift</vt:lpstr>
      <vt:lpstr>C Shift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Amie Winters</dc:creator>
  <cp:lastModifiedBy>Amie Winters</cp:lastModifiedBy>
  <dcterms:created xsi:type="dcterms:W3CDTF">2021-10-22T17:04:26Z</dcterms:created>
  <dcterms:modified xsi:type="dcterms:W3CDTF">2022-12-07T17:46:54Z</dcterms:modified>
</cp:coreProperties>
</file>